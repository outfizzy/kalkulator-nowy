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tomaszfijolek/Desktop/Program do ofert /offer-app/"/>
    </mc:Choice>
  </mc:AlternateContent>
  <xr:revisionPtr revIDLastSave="0" documentId="13_ncr:1_{F516C62F-4183-8347-A217-54FA74043296}" xr6:coauthVersionLast="47" xr6:coauthVersionMax="47" xr10:uidLastSave="{00000000-0000-0000-0000-000000000000}"/>
  <workbookProtection lockWindows="1"/>
  <bookViews>
    <workbookView xWindow="4300" yWindow="780" windowWidth="29900" windowHeight="19800" tabRatio="861" xr2:uid="{00000000-000D-0000-FFFF-FFFF00000000}"/>
  </bookViews>
  <sheets>
    <sheet name="Orangeline" sheetId="12" r:id="rId1"/>
    <sheet name="Orangeline+" sheetId="13" r:id="rId2"/>
    <sheet name="Trendline" sheetId="14" r:id="rId3"/>
    <sheet name="Trendline+" sheetId="15" r:id="rId4"/>
    <sheet name="Topline" sheetId="16" r:id="rId5"/>
    <sheet name="Topline XL" sheetId="17" r:id="rId6"/>
    <sheet name="Designline" sheetId="9" r:id="rId7"/>
    <sheet name="Ultraline Classic" sheetId="10" r:id="rId8"/>
    <sheet name="Ultraline Style" sheetId="18" r:id="rId9"/>
    <sheet name="Ultraline Compact" sheetId="19" r:id="rId10"/>
    <sheet name="Skyline" sheetId="20" r:id="rId11"/>
    <sheet name="Skyline Freistand" sheetId="21" r:id="rId12"/>
    <sheet name="Carport" sheetId="22" r:id="rId13"/>
    <sheet name="Carport Freistand" sheetId="23" r:id="rId14"/>
    <sheet name="Daten" sheetId="1" r:id="rId15"/>
    <sheet name="Erklärung Dachrechner" sheetId="2" r:id="rId16"/>
    <sheet name="Plattenrechner" sheetId="24" r:id="rId17"/>
  </sheets>
  <definedNames>
    <definedName name="_xlnm.Print_Area" localSheetId="12">Carport!$A$1:$P$24</definedName>
    <definedName name="_xlnm.Print_Area" localSheetId="13">'Carport Freistand'!$A$1:$P$24</definedName>
    <definedName name="_xlnm.Print_Area" localSheetId="14">Daten!$A$1:$P$24</definedName>
    <definedName name="_xlnm.Print_Area" localSheetId="6">Designline!$A$1:$P$24</definedName>
    <definedName name="_xlnm.Print_Area" localSheetId="0">Orangeline!$A$1:$P$24</definedName>
    <definedName name="_xlnm.Print_Area" localSheetId="1">'Orangeline+'!$A$1:$P$24</definedName>
    <definedName name="_xlnm.Print_Area" localSheetId="10">Skyline!$A$1:$P$24</definedName>
    <definedName name="_xlnm.Print_Area" localSheetId="11">'Skyline Freistand'!$A$1:$P$24</definedName>
    <definedName name="_xlnm.Print_Area" localSheetId="4">Topline!$A$1:$P$24</definedName>
    <definedName name="_xlnm.Print_Area" localSheetId="5">'Topline XL'!$A$1:$P$24</definedName>
    <definedName name="_xlnm.Print_Area" localSheetId="2">Trendline!$A$1:$P$24</definedName>
    <definedName name="_xlnm.Print_Area" localSheetId="3">'Trendline+'!$A$1:$P$24</definedName>
    <definedName name="_xlnm.Print_Area" localSheetId="7">'Ultraline Classic'!$A$1:$P$24</definedName>
    <definedName name="_xlnm.Print_Area" localSheetId="9">'Ultraline Compact'!$A$1:$P$24</definedName>
    <definedName name="_xlnm.Print_Area" localSheetId="8">'Ultraline Style'!$A$1:$P$24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7" l="1"/>
  <c r="P18" i="15"/>
  <c r="W9" i="14"/>
  <c r="V9" i="14"/>
  <c r="U9" i="14"/>
  <c r="U7" i="14"/>
  <c r="AB32" i="1"/>
  <c r="AB33" i="1" s="1"/>
  <c r="AB34" i="1" s="1"/>
  <c r="AB35" i="1" s="1"/>
  <c r="V6" i="17"/>
  <c r="U6" i="17"/>
  <c r="U4" i="17"/>
  <c r="V6" i="16"/>
  <c r="U6" i="16"/>
  <c r="U4" i="16"/>
  <c r="V6" i="15"/>
  <c r="U6" i="15"/>
  <c r="U4" i="15"/>
  <c r="V6" i="14"/>
  <c r="U6" i="14"/>
  <c r="U4" i="14"/>
  <c r="V6" i="13"/>
  <c r="U6" i="13"/>
  <c r="U4" i="13"/>
  <c r="V6" i="12"/>
  <c r="U6" i="12"/>
  <c r="U4" i="12"/>
  <c r="AB31" i="1"/>
  <c r="AB30" i="1"/>
  <c r="AB29" i="1"/>
  <c r="P31" i="1"/>
  <c r="P30" i="1"/>
  <c r="P29" i="1"/>
  <c r="P28" i="1"/>
  <c r="P27" i="1"/>
  <c r="P26" i="1"/>
  <c r="P25" i="1"/>
  <c r="X12" i="1"/>
  <c r="AB28" i="1"/>
  <c r="E8" i="24"/>
  <c r="E7" i="24"/>
  <c r="C7" i="24"/>
  <c r="C9" i="24" s="1"/>
  <c r="L19" i="14" l="1"/>
  <c r="M19" i="14"/>
  <c r="N19" i="14"/>
  <c r="C8" i="24"/>
  <c r="E5" i="24"/>
  <c r="U1" i="1" l="1"/>
  <c r="U1" i="23"/>
  <c r="U1" i="22"/>
  <c r="U1" i="21"/>
  <c r="U1" i="20"/>
  <c r="U1" i="19"/>
  <c r="U1" i="18"/>
  <c r="U1" i="10"/>
  <c r="U1" i="9"/>
  <c r="U1" i="17"/>
  <c r="U1" i="16"/>
  <c r="U1" i="15"/>
  <c r="U1" i="14"/>
  <c r="U1" i="13"/>
  <c r="B27" i="1" l="1"/>
  <c r="B26" i="1"/>
  <c r="R12" i="12"/>
  <c r="E18" i="12"/>
  <c r="G18" i="12"/>
  <c r="C31" i="1" l="1"/>
  <c r="B31" i="1"/>
  <c r="E18" i="23"/>
  <c r="F18" i="23"/>
  <c r="G18" i="23"/>
  <c r="G10" i="23" s="1"/>
  <c r="J18" i="23"/>
  <c r="M18" i="23"/>
  <c r="M10" i="23" s="1"/>
  <c r="N18" i="23"/>
  <c r="N10" i="23" s="1"/>
  <c r="U18" i="23"/>
  <c r="U10" i="23" s="1"/>
  <c r="V18" i="23"/>
  <c r="V10" i="23" s="1"/>
  <c r="J10" i="23"/>
  <c r="E10" i="23"/>
  <c r="F10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S11" i="23"/>
  <c r="A11" i="23"/>
  <c r="C10" i="23"/>
  <c r="B10" i="23"/>
  <c r="U2" i="23"/>
  <c r="E18" i="22"/>
  <c r="F18" i="22"/>
  <c r="G18" i="22"/>
  <c r="H18" i="22"/>
  <c r="H10" i="22" s="1"/>
  <c r="I18" i="22"/>
  <c r="I10" i="22" s="1"/>
  <c r="J18" i="22"/>
  <c r="J10" i="22" s="1"/>
  <c r="K18" i="22"/>
  <c r="K10" i="22" s="1"/>
  <c r="L18" i="22"/>
  <c r="L10" i="22" s="1"/>
  <c r="M18" i="22"/>
  <c r="M10" i="22" s="1"/>
  <c r="N18" i="22"/>
  <c r="N10" i="22" s="1"/>
  <c r="O18" i="22"/>
  <c r="O10" i="22" s="1"/>
  <c r="P18" i="22"/>
  <c r="P10" i="22" s="1"/>
  <c r="Q18" i="22"/>
  <c r="Q10" i="22" s="1"/>
  <c r="R18" i="22"/>
  <c r="R10" i="22" s="1"/>
  <c r="S18" i="22"/>
  <c r="S10" i="22" s="1"/>
  <c r="T18" i="22"/>
  <c r="T10" i="22" s="1"/>
  <c r="U18" i="22"/>
  <c r="V18" i="22"/>
  <c r="V10" i="22" s="1"/>
  <c r="W18" i="22"/>
  <c r="U10" i="22"/>
  <c r="W10" i="22"/>
  <c r="D18" i="22"/>
  <c r="C30" i="1"/>
  <c r="B30" i="1"/>
  <c r="G10" i="22"/>
  <c r="F10" i="22"/>
  <c r="E10" i="22"/>
  <c r="D10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S11" i="22"/>
  <c r="A11" i="22"/>
  <c r="C10" i="22"/>
  <c r="B10" i="22"/>
  <c r="U2" i="22"/>
  <c r="C29" i="1"/>
  <c r="B29" i="1"/>
  <c r="E18" i="21"/>
  <c r="E10" i="21" s="1"/>
  <c r="F18" i="21"/>
  <c r="F10" i="21" s="1"/>
  <c r="G18" i="21"/>
  <c r="G10" i="21" s="1"/>
  <c r="M18" i="21"/>
  <c r="M10" i="21" s="1"/>
  <c r="N18" i="21"/>
  <c r="N10" i="21" s="1"/>
  <c r="U18" i="21"/>
  <c r="V18" i="21"/>
  <c r="U10" i="21"/>
  <c r="V10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S11" i="21"/>
  <c r="A11" i="21"/>
  <c r="C10" i="21"/>
  <c r="B10" i="21"/>
  <c r="U2" i="21"/>
  <c r="C28" i="1"/>
  <c r="B28" i="1"/>
  <c r="F18" i="20"/>
  <c r="F10" i="20" s="1"/>
  <c r="G18" i="20"/>
  <c r="M18" i="20"/>
  <c r="M10" i="20" s="1"/>
  <c r="N18" i="20"/>
  <c r="R18" i="20"/>
  <c r="R10" i="20" s="1"/>
  <c r="U18" i="20"/>
  <c r="U10" i="20" s="1"/>
  <c r="V18" i="20"/>
  <c r="E18" i="20"/>
  <c r="V10" i="20"/>
  <c r="G10" i="20"/>
  <c r="E10" i="20"/>
  <c r="E18" i="19"/>
  <c r="E10" i="19" s="1"/>
  <c r="F18" i="19"/>
  <c r="F10" i="19" s="1"/>
  <c r="G18" i="19"/>
  <c r="G10" i="19" s="1"/>
  <c r="H18" i="19"/>
  <c r="I18" i="19"/>
  <c r="J18" i="19"/>
  <c r="K18" i="19"/>
  <c r="L18" i="19"/>
  <c r="M18" i="19"/>
  <c r="N18" i="19"/>
  <c r="O18" i="19"/>
  <c r="Q18" i="19"/>
  <c r="R18" i="19"/>
  <c r="T18" i="19"/>
  <c r="U18" i="19"/>
  <c r="V18" i="19"/>
  <c r="V10" i="19" s="1"/>
  <c r="U10" i="19"/>
  <c r="B10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S11" i="20"/>
  <c r="A11" i="20"/>
  <c r="N10" i="20"/>
  <c r="C10" i="20"/>
  <c r="U2" i="20"/>
  <c r="D27" i="1"/>
  <c r="C27" i="1"/>
  <c r="M10" i="19"/>
  <c r="N10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S11" i="19"/>
  <c r="A11" i="19"/>
  <c r="D10" i="19"/>
  <c r="C10" i="19"/>
  <c r="U2" i="19"/>
  <c r="D26" i="1"/>
  <c r="C26" i="1"/>
  <c r="F18" i="18"/>
  <c r="F10" i="18" s="1"/>
  <c r="G18" i="18"/>
  <c r="G10" i="18" s="1"/>
  <c r="K18" i="18"/>
  <c r="K10" i="18" s="1"/>
  <c r="M18" i="18"/>
  <c r="M10" i="18" s="1"/>
  <c r="N18" i="18"/>
  <c r="N10" i="18" s="1"/>
  <c r="U18" i="18"/>
  <c r="U10" i="18" s="1"/>
  <c r="V18" i="18"/>
  <c r="V10" i="18" s="1"/>
  <c r="E18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S11" i="18"/>
  <c r="A11" i="18"/>
  <c r="E10" i="18"/>
  <c r="D10" i="18"/>
  <c r="C10" i="18"/>
  <c r="U2" i="18"/>
  <c r="C23" i="1"/>
  <c r="D23" i="1"/>
  <c r="B23" i="1"/>
  <c r="H18" i="17"/>
  <c r="H10" i="17" s="1"/>
  <c r="K18" i="17"/>
  <c r="K10" i="17" s="1"/>
  <c r="M18" i="17"/>
  <c r="N18" i="17"/>
  <c r="U18" i="17"/>
  <c r="U10" i="17" s="1"/>
  <c r="M10" i="17"/>
  <c r="N10" i="17"/>
  <c r="E18" i="17"/>
  <c r="E10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S11" i="17"/>
  <c r="A11" i="17"/>
  <c r="D10" i="17"/>
  <c r="C10" i="17"/>
  <c r="B10" i="17"/>
  <c r="U2" i="17"/>
  <c r="C22" i="1"/>
  <c r="D22" i="1"/>
  <c r="B22" i="1"/>
  <c r="H18" i="16"/>
  <c r="K18" i="16"/>
  <c r="M18" i="16"/>
  <c r="N18" i="16"/>
  <c r="U18" i="16"/>
  <c r="E18" i="16"/>
  <c r="P23" i="1" l="1"/>
  <c r="P10" i="17" s="1"/>
  <c r="X23" i="1"/>
  <c r="X22" i="1"/>
  <c r="P22" i="1"/>
  <c r="E10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S11" i="16"/>
  <c r="A11" i="16"/>
  <c r="U10" i="16"/>
  <c r="N10" i="16"/>
  <c r="M10" i="16"/>
  <c r="K10" i="16"/>
  <c r="H10" i="16"/>
  <c r="D10" i="16"/>
  <c r="C10" i="16"/>
  <c r="B10" i="16"/>
  <c r="U2" i="16"/>
  <c r="H18" i="15"/>
  <c r="K18" i="15"/>
  <c r="M18" i="15"/>
  <c r="N18" i="15"/>
  <c r="N10" i="15" s="1"/>
  <c r="U18" i="15"/>
  <c r="U10" i="15" s="1"/>
  <c r="H10" i="15"/>
  <c r="M10" i="15"/>
  <c r="E18" i="15"/>
  <c r="E10" i="15" s="1"/>
  <c r="C21" i="1"/>
  <c r="D21" i="1"/>
  <c r="B21" i="1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S11" i="15"/>
  <c r="A11" i="15"/>
  <c r="K10" i="15"/>
  <c r="D10" i="15"/>
  <c r="C10" i="15"/>
  <c r="B10" i="15"/>
  <c r="U2" i="15"/>
  <c r="C20" i="1"/>
  <c r="D20" i="1"/>
  <c r="B20" i="1"/>
  <c r="H18" i="14"/>
  <c r="H10" i="14" s="1"/>
  <c r="K18" i="14"/>
  <c r="K10" i="14" s="1"/>
  <c r="U18" i="14"/>
  <c r="E18" i="14"/>
  <c r="E10" i="14" s="1"/>
  <c r="D10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S11" i="14"/>
  <c r="A11" i="14"/>
  <c r="C10" i="14"/>
  <c r="B10" i="14"/>
  <c r="U2" i="14"/>
  <c r="C19" i="1"/>
  <c r="B19" i="1"/>
  <c r="E18" i="13"/>
  <c r="F18" i="13"/>
  <c r="G18" i="13"/>
  <c r="G10" i="13" s="1"/>
  <c r="H18" i="13"/>
  <c r="K18" i="13"/>
  <c r="M18" i="13"/>
  <c r="N18" i="13"/>
  <c r="N10" i="13" s="1"/>
  <c r="U18" i="13"/>
  <c r="U10" i="13" s="1"/>
  <c r="H10" i="13"/>
  <c r="K10" i="13"/>
  <c r="M10" i="13"/>
  <c r="F10" i="13"/>
  <c r="E10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S11" i="13"/>
  <c r="A11" i="13"/>
  <c r="C10" i="13"/>
  <c r="B10" i="13"/>
  <c r="U2" i="13"/>
  <c r="C18" i="1"/>
  <c r="B18" i="1"/>
  <c r="E10" i="12"/>
  <c r="F18" i="12"/>
  <c r="G10" i="12"/>
  <c r="H18" i="12"/>
  <c r="H10" i="12" s="1"/>
  <c r="K18" i="12"/>
  <c r="M18" i="12"/>
  <c r="N18" i="12"/>
  <c r="N10" i="12" s="1"/>
  <c r="U18" i="12"/>
  <c r="U10" i="12" s="1"/>
  <c r="K10" i="12"/>
  <c r="M10" i="12"/>
  <c r="W12" i="12"/>
  <c r="V12" i="12"/>
  <c r="U12" i="12"/>
  <c r="T12" i="12"/>
  <c r="S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S11" i="12"/>
  <c r="A11" i="12"/>
  <c r="F10" i="12"/>
  <c r="C10" i="12"/>
  <c r="B10" i="12"/>
  <c r="U2" i="12"/>
  <c r="B24" i="1"/>
  <c r="C24" i="1"/>
  <c r="D25" i="1"/>
  <c r="B25" i="1" s="1"/>
  <c r="E25" i="1"/>
  <c r="C25" i="1"/>
  <c r="J25" i="1" s="1"/>
  <c r="J18" i="10" s="1"/>
  <c r="J10" i="10" s="1"/>
  <c r="G18" i="10"/>
  <c r="G10" i="10" s="1"/>
  <c r="K18" i="10"/>
  <c r="M18" i="10"/>
  <c r="N18" i="10"/>
  <c r="U18" i="10"/>
  <c r="U10" i="10" s="1"/>
  <c r="V18" i="10"/>
  <c r="K10" i="10"/>
  <c r="V10" i="10"/>
  <c r="F18" i="10"/>
  <c r="N10" i="10"/>
  <c r="M10" i="10"/>
  <c r="F10" i="10"/>
  <c r="E10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S11" i="10"/>
  <c r="A11" i="10"/>
  <c r="D10" i="10"/>
  <c r="C10" i="10"/>
  <c r="U2" i="10"/>
  <c r="D24" i="1"/>
  <c r="P24" i="1" s="1"/>
  <c r="H18" i="9"/>
  <c r="H10" i="9" s="1"/>
  <c r="K18" i="9"/>
  <c r="M18" i="9"/>
  <c r="N18" i="9"/>
  <c r="U18" i="9"/>
  <c r="U10" i="9" s="1"/>
  <c r="K10" i="9"/>
  <c r="M10" i="9"/>
  <c r="N10" i="9"/>
  <c r="E18" i="9"/>
  <c r="E10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S11" i="9"/>
  <c r="A11" i="9"/>
  <c r="D10" i="9"/>
  <c r="C10" i="9"/>
  <c r="B10" i="9"/>
  <c r="U2" i="9"/>
  <c r="O27" i="1"/>
  <c r="O10" i="19" s="1"/>
  <c r="L27" i="1"/>
  <c r="L10" i="19" s="1"/>
  <c r="K27" i="1"/>
  <c r="K10" i="19" s="1"/>
  <c r="J27" i="1"/>
  <c r="J10" i="19" s="1"/>
  <c r="I27" i="1"/>
  <c r="I10" i="19" s="1"/>
  <c r="J26" i="1"/>
  <c r="J18" i="18" s="1"/>
  <c r="J10" i="18" s="1"/>
  <c r="P18" i="16" l="1"/>
  <c r="P10" i="16" s="1"/>
  <c r="X21" i="1"/>
  <c r="P21" i="1"/>
  <c r="P10" i="15" s="1"/>
  <c r="X20" i="1"/>
  <c r="P20" i="1"/>
  <c r="P18" i="14" s="1"/>
  <c r="H27" i="1"/>
  <c r="H10" i="19" s="1"/>
  <c r="I26" i="1"/>
  <c r="L25" i="1"/>
  <c r="I25" i="1" s="1"/>
  <c r="L26" i="1"/>
  <c r="L18" i="18" s="1"/>
  <c r="L10" i="18" s="1"/>
  <c r="I18" i="18" l="1"/>
  <c r="I10" i="18" s="1"/>
  <c r="O26" i="1"/>
  <c r="O25" i="1"/>
  <c r="I18" i="10"/>
  <c r="I10" i="10" s="1"/>
  <c r="Q25" i="1"/>
  <c r="L18" i="10"/>
  <c r="L10" i="10" s="1"/>
  <c r="G12" i="1"/>
  <c r="G19" i="1"/>
  <c r="G18" i="1"/>
  <c r="O18" i="18" l="1"/>
  <c r="O10" i="18" s="1"/>
  <c r="Q26" i="1"/>
  <c r="Q18" i="18" s="1"/>
  <c r="Q10" i="18" s="1"/>
  <c r="H26" i="1"/>
  <c r="H18" i="18" s="1"/>
  <c r="H10" i="18" s="1"/>
  <c r="Q18" i="10"/>
  <c r="Q10" i="10" s="1"/>
  <c r="R25" i="1"/>
  <c r="R18" i="10" s="1"/>
  <c r="R10" i="10" s="1"/>
  <c r="H25" i="1"/>
  <c r="H18" i="10" s="1"/>
  <c r="H10" i="10" s="1"/>
  <c r="O18" i="10"/>
  <c r="O10" i="10" s="1"/>
  <c r="D19" i="1"/>
  <c r="J19" i="1"/>
  <c r="J18" i="13" s="1"/>
  <c r="J10" i="13" s="1"/>
  <c r="J20" i="1"/>
  <c r="J18" i="14" s="1"/>
  <c r="J10" i="14" s="1"/>
  <c r="P10" i="14"/>
  <c r="J21" i="1"/>
  <c r="J18" i="15" s="1"/>
  <c r="J10" i="15" s="1"/>
  <c r="I28" i="1"/>
  <c r="I18" i="20" s="1"/>
  <c r="I10" i="20" s="1"/>
  <c r="I29" i="1"/>
  <c r="I18" i="21" s="1"/>
  <c r="I10" i="21" s="1"/>
  <c r="I30" i="1"/>
  <c r="I31" i="1"/>
  <c r="I18" i="23" s="1"/>
  <c r="I10" i="23" s="1"/>
  <c r="I19" i="1"/>
  <c r="I18" i="13" s="1"/>
  <c r="I10" i="13" s="1"/>
  <c r="Q31" i="1"/>
  <c r="Q18" i="23" s="1"/>
  <c r="Q10" i="23" s="1"/>
  <c r="O31" i="1"/>
  <c r="L30" i="1"/>
  <c r="O30" i="1" s="1"/>
  <c r="K31" i="1"/>
  <c r="K18" i="23" s="1"/>
  <c r="K10" i="23" s="1"/>
  <c r="H31" i="1"/>
  <c r="H18" i="23" s="1"/>
  <c r="H10" i="23" s="1"/>
  <c r="H30" i="1"/>
  <c r="D31" i="1"/>
  <c r="L31" i="1"/>
  <c r="L18" i="23" s="1"/>
  <c r="L10" i="23" s="1"/>
  <c r="R31" i="1"/>
  <c r="R18" i="23" s="1"/>
  <c r="R10" i="23" s="1"/>
  <c r="S31" i="1"/>
  <c r="S18" i="23" s="1"/>
  <c r="S10" i="23" s="1"/>
  <c r="R29" i="1"/>
  <c r="R18" i="21" s="1"/>
  <c r="R10" i="21" s="1"/>
  <c r="O29" i="1"/>
  <c r="L28" i="1"/>
  <c r="J29" i="1"/>
  <c r="H29" i="1"/>
  <c r="H18" i="21" s="1"/>
  <c r="H10" i="21" s="1"/>
  <c r="L29" i="1"/>
  <c r="S29" i="1"/>
  <c r="S18" i="21" s="1"/>
  <c r="S10" i="21" s="1"/>
  <c r="D29" i="1"/>
  <c r="D18" i="13" l="1"/>
  <c r="D10" i="13" s="1"/>
  <c r="X19" i="1"/>
  <c r="P19" i="1"/>
  <c r="P18" i="13" s="1"/>
  <c r="P10" i="13" s="1"/>
  <c r="T31" i="1"/>
  <c r="T18" i="23" s="1"/>
  <c r="T10" i="23" s="1"/>
  <c r="O18" i="23"/>
  <c r="O10" i="23" s="1"/>
  <c r="P18" i="23"/>
  <c r="P10" i="23" s="1"/>
  <c r="D18" i="23"/>
  <c r="D10" i="23" s="1"/>
  <c r="W31" i="1"/>
  <c r="W18" i="23" s="1"/>
  <c r="W10" i="23" s="1"/>
  <c r="Q29" i="1"/>
  <c r="Q18" i="21" s="1"/>
  <c r="Q10" i="21" s="1"/>
  <c r="L18" i="21"/>
  <c r="L10" i="21" s="1"/>
  <c r="K29" i="1"/>
  <c r="K18" i="21" s="1"/>
  <c r="K10" i="21" s="1"/>
  <c r="J18" i="21"/>
  <c r="J10" i="21" s="1"/>
  <c r="T29" i="1"/>
  <c r="T18" i="21" s="1"/>
  <c r="T10" i="21" s="1"/>
  <c r="O18" i="21"/>
  <c r="O10" i="21" s="1"/>
  <c r="P18" i="21"/>
  <c r="P10" i="21" s="1"/>
  <c r="D18" i="21"/>
  <c r="D10" i="21" s="1"/>
  <c r="W29" i="1"/>
  <c r="W18" i="21" s="1"/>
  <c r="W10" i="21" s="1"/>
  <c r="O28" i="1"/>
  <c r="O18" i="20" s="1"/>
  <c r="O10" i="20" s="1"/>
  <c r="L18" i="20"/>
  <c r="L10" i="20" s="1"/>
  <c r="F21" i="1"/>
  <c r="F18" i="15" s="1"/>
  <c r="F10" i="15" s="1"/>
  <c r="F20" i="1"/>
  <c r="L19" i="1"/>
  <c r="L18" i="13" s="1"/>
  <c r="L10" i="13" s="1"/>
  <c r="O19" i="1"/>
  <c r="O18" i="13" s="1"/>
  <c r="O10" i="13" s="1"/>
  <c r="D28" i="1"/>
  <c r="D30" i="1"/>
  <c r="P18" i="20" l="1"/>
  <c r="P10" i="20" s="1"/>
  <c r="D18" i="20"/>
  <c r="D10" i="20" s="1"/>
  <c r="L20" i="1"/>
  <c r="L18" i="14" s="1"/>
  <c r="L10" i="14" s="1"/>
  <c r="W3" i="14" s="1" a="1"/>
  <c r="W3" i="14" s="1"/>
  <c r="F18" i="14"/>
  <c r="F10" i="14" s="1"/>
  <c r="I21" i="1"/>
  <c r="I18" i="15" s="1"/>
  <c r="I10" i="15" s="1"/>
  <c r="G21" i="1"/>
  <c r="G18" i="15" s="1"/>
  <c r="G10" i="15" s="1"/>
  <c r="N20" i="1"/>
  <c r="N18" i="14" s="1"/>
  <c r="N10" i="14" s="1"/>
  <c r="Q20" i="1"/>
  <c r="Q18" i="14" s="1"/>
  <c r="Q10" i="14" s="1"/>
  <c r="M20" i="1"/>
  <c r="M18" i="14" s="1"/>
  <c r="M10" i="14" s="1"/>
  <c r="G20" i="1"/>
  <c r="G18" i="14" s="1"/>
  <c r="G10" i="14" s="1"/>
  <c r="O20" i="1"/>
  <c r="O18" i="14" s="1"/>
  <c r="O10" i="14" s="1"/>
  <c r="R20" i="1"/>
  <c r="R18" i="14" s="1"/>
  <c r="R10" i="14" s="1"/>
  <c r="Q19" i="1"/>
  <c r="Q18" i="13" s="1"/>
  <c r="Q10" i="13" s="1"/>
  <c r="W21" i="1"/>
  <c r="W18" i="15" s="1"/>
  <c r="W10" i="15" s="1"/>
  <c r="V21" i="1"/>
  <c r="V18" i="15" s="1"/>
  <c r="V10" i="15" s="1"/>
  <c r="S21" i="1"/>
  <c r="S18" i="15" s="1"/>
  <c r="S10" i="15" s="1"/>
  <c r="S19" i="1"/>
  <c r="S18" i="13" s="1"/>
  <c r="S10" i="13" s="1"/>
  <c r="V19" i="1"/>
  <c r="V18" i="13" s="1"/>
  <c r="V10" i="13" s="1"/>
  <c r="H28" i="1"/>
  <c r="H18" i="20" s="1"/>
  <c r="H10" i="20" s="1"/>
  <c r="K30" i="1"/>
  <c r="J28" i="1"/>
  <c r="Q30" i="1"/>
  <c r="T28" i="1"/>
  <c r="T18" i="20" s="1"/>
  <c r="T10" i="20" s="1"/>
  <c r="T30" i="1"/>
  <c r="S30" i="1"/>
  <c r="W30" i="1" s="1"/>
  <c r="S28" i="1"/>
  <c r="Q28" i="1"/>
  <c r="Q18" i="20" s="1"/>
  <c r="Q10" i="20" s="1"/>
  <c r="P18" i="19" l="1"/>
  <c r="P10" i="19" s="1"/>
  <c r="K28" i="1"/>
  <c r="K18" i="20" s="1"/>
  <c r="K10" i="20" s="1"/>
  <c r="J18" i="20"/>
  <c r="J10" i="20" s="1"/>
  <c r="W28" i="1"/>
  <c r="W18" i="20" s="1"/>
  <c r="W10" i="20" s="1"/>
  <c r="S18" i="20"/>
  <c r="S10" i="20" s="1"/>
  <c r="S27" i="1"/>
  <c r="S18" i="19" s="1"/>
  <c r="B18" i="19"/>
  <c r="B10" i="19" s="1"/>
  <c r="L21" i="1"/>
  <c r="L18" i="15" s="1"/>
  <c r="L10" i="15" s="1"/>
  <c r="Q21" i="1"/>
  <c r="Q18" i="15" s="1"/>
  <c r="Q10" i="15" s="1"/>
  <c r="O21" i="1"/>
  <c r="O18" i="15" s="1"/>
  <c r="O10" i="15" s="1"/>
  <c r="R19" i="1"/>
  <c r="R18" i="13" s="1"/>
  <c r="R10" i="13" s="1"/>
  <c r="T19" i="1"/>
  <c r="T18" i="13" s="1"/>
  <c r="T10" i="13" s="1"/>
  <c r="W19" i="1"/>
  <c r="W18" i="13" s="1"/>
  <c r="W10" i="13" s="1"/>
  <c r="Q27" i="1"/>
  <c r="T27" i="1"/>
  <c r="T10" i="19" s="1"/>
  <c r="S18" i="1"/>
  <c r="S18" i="12" s="1"/>
  <c r="S10" i="12" s="1"/>
  <c r="E12" i="1"/>
  <c r="AB26" i="1"/>
  <c r="H12" i="1" s="1"/>
  <c r="W20" i="1"/>
  <c r="W18" i="14" s="1"/>
  <c r="W22" i="1"/>
  <c r="W18" i="16" s="1"/>
  <c r="W10" i="16" s="1"/>
  <c r="W23" i="1"/>
  <c r="W18" i="17" s="1"/>
  <c r="W10" i="17" s="1"/>
  <c r="W24" i="1"/>
  <c r="W18" i="9" s="1"/>
  <c r="W10" i="9" s="1"/>
  <c r="V20" i="1"/>
  <c r="V18" i="14" s="1"/>
  <c r="V22" i="1"/>
  <c r="V18" i="16" s="1"/>
  <c r="V10" i="16" s="1"/>
  <c r="V23" i="1"/>
  <c r="V18" i="17" s="1"/>
  <c r="V10" i="17" s="1"/>
  <c r="V24" i="1"/>
  <c r="V18" i="9" s="1"/>
  <c r="V10" i="9" s="1"/>
  <c r="S20" i="1"/>
  <c r="S18" i="14" s="1"/>
  <c r="S10" i="14" s="1"/>
  <c r="S22" i="1"/>
  <c r="S18" i="16" s="1"/>
  <c r="S10" i="16" s="1"/>
  <c r="S23" i="1"/>
  <c r="S18" i="17" s="1"/>
  <c r="S10" i="17" s="1"/>
  <c r="S24" i="1"/>
  <c r="S18" i="9" s="1"/>
  <c r="S10" i="9" s="1"/>
  <c r="W27" i="1" l="1"/>
  <c r="S10" i="19"/>
  <c r="R27" i="1"/>
  <c r="R10" i="19" s="1"/>
  <c r="Q10" i="19"/>
  <c r="R21" i="1"/>
  <c r="R18" i="15" s="1"/>
  <c r="R10" i="15" s="1"/>
  <c r="T21" i="1"/>
  <c r="T18" i="15" s="1"/>
  <c r="T10" i="15" s="1"/>
  <c r="P18" i="18"/>
  <c r="P10" i="18" s="1"/>
  <c r="P18" i="10"/>
  <c r="P10" i="10" s="1"/>
  <c r="P18" i="9"/>
  <c r="P10" i="9" s="1"/>
  <c r="W18" i="19" l="1"/>
  <c r="W10" i="19" s="1"/>
  <c r="S26" i="1"/>
  <c r="B18" i="18"/>
  <c r="B10" i="18" s="1"/>
  <c r="S25" i="1"/>
  <c r="B18" i="10"/>
  <c r="B10" i="10" s="1"/>
  <c r="T26" i="1"/>
  <c r="T18" i="18" s="1"/>
  <c r="T10" i="18" s="1"/>
  <c r="R26" i="1"/>
  <c r="R18" i="18" s="1"/>
  <c r="R10" i="18" s="1"/>
  <c r="J23" i="1"/>
  <c r="J18" i="17" s="1"/>
  <c r="J10" i="17" s="1"/>
  <c r="W26" i="1" l="1"/>
  <c r="W18" i="18" s="1"/>
  <c r="W10" i="18" s="1"/>
  <c r="S18" i="18"/>
  <c r="S10" i="18" s="1"/>
  <c r="F23" i="1"/>
  <c r="F18" i="17" s="1"/>
  <c r="F10" i="17" s="1"/>
  <c r="W25" i="1"/>
  <c r="W18" i="10" s="1"/>
  <c r="W10" i="10" s="1"/>
  <c r="S18" i="10"/>
  <c r="S10" i="10" s="1"/>
  <c r="T25" i="1"/>
  <c r="T18" i="10" s="1"/>
  <c r="T10" i="10" s="1"/>
  <c r="I23" i="1" l="1"/>
  <c r="I18" i="17" s="1"/>
  <c r="I10" i="17" s="1"/>
  <c r="G23" i="1"/>
  <c r="G18" i="17" s="1"/>
  <c r="G10" i="17" s="1"/>
  <c r="L23" i="1"/>
  <c r="L18" i="17" s="1"/>
  <c r="L10" i="17" s="1"/>
  <c r="Q23" i="1"/>
  <c r="Q18" i="17" s="1"/>
  <c r="Q10" i="17" s="1"/>
  <c r="O23" i="1"/>
  <c r="O18" i="17" s="1"/>
  <c r="O10" i="17" s="1"/>
  <c r="R23" i="1"/>
  <c r="R18" i="17" s="1"/>
  <c r="R10" i="17" s="1"/>
  <c r="T23" i="1" l="1"/>
  <c r="T18" i="17" s="1"/>
  <c r="T10" i="17" s="1"/>
  <c r="J24" i="1"/>
  <c r="J22" i="1"/>
  <c r="J18" i="16" s="1"/>
  <c r="J10" i="16" s="1"/>
  <c r="J18" i="1"/>
  <c r="J18" i="12" s="1"/>
  <c r="J10" i="12" s="1"/>
  <c r="F22" i="1" l="1"/>
  <c r="F18" i="16" s="1"/>
  <c r="F10" i="16" s="1"/>
  <c r="F24" i="1"/>
  <c r="R24" i="1" s="1"/>
  <c r="R18" i="9" s="1"/>
  <c r="R10" i="9" s="1"/>
  <c r="J18" i="9"/>
  <c r="J10" i="9" s="1"/>
  <c r="D18" i="1"/>
  <c r="O24" i="1"/>
  <c r="T20" i="1"/>
  <c r="T18" i="14" s="1"/>
  <c r="T10" i="14" s="1"/>
  <c r="I20" i="1"/>
  <c r="I18" i="14" s="1"/>
  <c r="I10" i="14" s="1"/>
  <c r="I18" i="1"/>
  <c r="I18" i="12" s="1"/>
  <c r="I10" i="12" s="1"/>
  <c r="A11" i="1"/>
  <c r="AB2" i="1"/>
  <c r="AB4" i="1"/>
  <c r="B12" i="1" s="1"/>
  <c r="G24" i="1" l="1"/>
  <c r="G18" i="9" s="1"/>
  <c r="G10" i="9" s="1"/>
  <c r="D18" i="12"/>
  <c r="D10" i="12" s="1"/>
  <c r="P18" i="1"/>
  <c r="P18" i="12" s="1"/>
  <c r="P10" i="12" s="1"/>
  <c r="X18" i="1"/>
  <c r="G22" i="1"/>
  <c r="G18" i="16" s="1"/>
  <c r="G10" i="16" s="1"/>
  <c r="F18" i="9"/>
  <c r="F10" i="9" s="1"/>
  <c r="I22" i="1"/>
  <c r="I18" i="16" s="1"/>
  <c r="I10" i="16" s="1"/>
  <c r="I24" i="1"/>
  <c r="I18" i="9" s="1"/>
  <c r="I10" i="9" s="1"/>
  <c r="W18" i="1"/>
  <c r="W18" i="12" s="1"/>
  <c r="W10" i="12" s="1"/>
  <c r="L22" i="1"/>
  <c r="L18" i="16" s="1"/>
  <c r="L10" i="16" s="1"/>
  <c r="O22" i="1"/>
  <c r="O18" i="16" s="1"/>
  <c r="O10" i="16" s="1"/>
  <c r="L24" i="1"/>
  <c r="L18" i="9" s="1"/>
  <c r="L10" i="9" s="1"/>
  <c r="Q24" i="1"/>
  <c r="Q18" i="9" s="1"/>
  <c r="Q10" i="9" s="1"/>
  <c r="T24" i="1"/>
  <c r="T18" i="9" s="1"/>
  <c r="T10" i="9" s="1"/>
  <c r="O18" i="9"/>
  <c r="O10" i="9" s="1"/>
  <c r="V18" i="1"/>
  <c r="V18" i="12" s="1"/>
  <c r="V10" i="12" s="1"/>
  <c r="Q18" i="1"/>
  <c r="Q18" i="12" s="1"/>
  <c r="Q10" i="12" s="1"/>
  <c r="O18" i="1"/>
  <c r="O18" i="12" s="1"/>
  <c r="O10" i="12" s="1"/>
  <c r="L18" i="1"/>
  <c r="L18" i="12" s="1"/>
  <c r="L10" i="12" s="1"/>
  <c r="AB5" i="1"/>
  <c r="Q22" i="1" l="1"/>
  <c r="Q18" i="16" s="1"/>
  <c r="Q10" i="16" s="1"/>
  <c r="R22" i="1"/>
  <c r="R18" i="16" s="1"/>
  <c r="R10" i="16" s="1"/>
  <c r="T22" i="1"/>
  <c r="T18" i="16" s="1"/>
  <c r="T10" i="16" s="1"/>
  <c r="R18" i="1"/>
  <c r="R18" i="12" s="1"/>
  <c r="R10" i="12" s="1"/>
  <c r="T18" i="1"/>
  <c r="T18" i="12" s="1"/>
  <c r="T10" i="12" s="1"/>
  <c r="AB6" i="1"/>
  <c r="D12" i="1" s="1"/>
  <c r="C12" i="1"/>
  <c r="AB7" i="1" l="1"/>
  <c r="AB8" i="1" l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U2" i="1" s="1"/>
  <c r="F12" i="1"/>
  <c r="K12" i="1" l="1"/>
  <c r="I12" i="1"/>
  <c r="J12" i="1" l="1"/>
  <c r="L12" i="1" l="1"/>
  <c r="M12" i="1" l="1"/>
  <c r="N12" i="1" l="1"/>
  <c r="O12" i="1" l="1"/>
  <c r="P12" i="1" l="1"/>
  <c r="S12" i="1" l="1"/>
  <c r="T12" i="1" l="1"/>
  <c r="U12" i="1" l="1"/>
  <c r="V12" i="1" l="1"/>
  <c r="Q12" i="1" l="1"/>
  <c r="W12" i="1"/>
  <c r="R12" i="1" l="1"/>
  <c r="S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<sst xmlns="http://schemas.openxmlformats.org/spreadsheetml/2006/main" count="305" uniqueCount="129">
  <si>
    <t>Type</t>
  </si>
  <si>
    <t>Topline</t>
  </si>
  <si>
    <t>Berekening diepte en hoogte veranda</t>
  </si>
  <si>
    <t>Designline</t>
  </si>
  <si>
    <t>spie hoogte gootzijde</t>
  </si>
  <si>
    <t>spie hoogte muurzijde</t>
  </si>
  <si>
    <t>Topline XL</t>
  </si>
  <si>
    <t>CSt</t>
  </si>
  <si>
    <t>Sprache</t>
  </si>
  <si>
    <t>GER</t>
  </si>
  <si>
    <t>NED</t>
  </si>
  <si>
    <t>ENG</t>
  </si>
  <si>
    <t>Kozijnhoogte gootzijde [mm]</t>
  </si>
  <si>
    <t>Kozijn breedte [mm]</t>
  </si>
  <si>
    <t>Kozijnhoogte woning zijde [mm]</t>
  </si>
  <si>
    <t>Bestelltiefe [mm]</t>
  </si>
  <si>
    <t>Fensterhöhe Rinnenseite [mm]</t>
  </si>
  <si>
    <t>Fensterbreite [mm]</t>
  </si>
  <si>
    <t>Keilhöhe Rinnenseite [mm]</t>
  </si>
  <si>
    <t>Keilhöhe Hausseite [mm]</t>
  </si>
  <si>
    <t>Fensterhöhe Hausseite [mm]</t>
  </si>
  <si>
    <t>order depth [mm]</t>
  </si>
  <si>
    <t>window height gutter side [mm]</t>
  </si>
  <si>
    <t>window width [mm]</t>
  </si>
  <si>
    <t>wedge height gutter side [mm]</t>
  </si>
  <si>
    <t>wedge height house side [mm]</t>
  </si>
  <si>
    <t>window height house side [mm]</t>
  </si>
  <si>
    <t>wall mount to front edge of post [mm] (D4)</t>
  </si>
  <si>
    <t>freestand to front edge of post [mm] (D5)</t>
  </si>
  <si>
    <t>Berechnung der Höhe und Tiefe einer Veranda</t>
  </si>
  <si>
    <t>calculation of depth and height of veranda</t>
  </si>
  <si>
    <t>Trendline</t>
  </si>
  <si>
    <t>Berechnung der Fensterelemente</t>
  </si>
  <si>
    <t>Ultraline Classic</t>
  </si>
  <si>
    <t>Ultraline Style</t>
  </si>
  <si>
    <t>Ultraline Compact</t>
  </si>
  <si>
    <t>calculation of window elements</t>
  </si>
  <si>
    <t>Berekening van de kozijnen</t>
  </si>
  <si>
    <t>-</t>
  </si>
  <si>
    <t>Language</t>
  </si>
  <si>
    <t>taal</t>
  </si>
  <si>
    <t>Besteldiepte [mm]</t>
  </si>
  <si>
    <t>Hoogte - onderkant goot - [mm] (H3)</t>
  </si>
  <si>
    <t>Hoogte - onderkant muurprofiel - [mm] (H1)</t>
  </si>
  <si>
    <t>Höhe -  Unterkante Rinne [mm] (H3)</t>
  </si>
  <si>
    <t>Höhe -  Unterkante Wandprofil [mm] (H1)</t>
  </si>
  <si>
    <t>Lengte - dakliggers midden [mm] (S1)</t>
  </si>
  <si>
    <t>Lengte - dakliggers buiten [mm] (S1)</t>
  </si>
  <si>
    <t>Diepte - met standaard goot [mm] (D3)</t>
  </si>
  <si>
    <t>Diepte - tussen staander en woning [mm] (D2)</t>
  </si>
  <si>
    <t>Hoogte - bovenkant muurprofiel [mm] (H2)</t>
  </si>
  <si>
    <t>Höhe - Oberkante Wandprofil [mm] (H2)</t>
  </si>
  <si>
    <t>Diepte - goot rond [mm] (D3)</t>
  </si>
  <si>
    <t>Diepte - goot klassiek [mm] (D3)</t>
  </si>
  <si>
    <t>height - lower edge gutter [mm] (H3)</t>
  </si>
  <si>
    <t>height - of lower edge of wall profile [mm] (H1)</t>
  </si>
  <si>
    <t>depth - with standard gutter [mm] (D3)</t>
  </si>
  <si>
    <t>depth - with decorative cover round [mm] (D3)</t>
  </si>
  <si>
    <t>depth - with decorative cover classic [mm] (D3)</t>
  </si>
  <si>
    <t>depth - between house and post [mm] (D2)</t>
  </si>
  <si>
    <t>height - of top edge of wall profile [mm] (H2)</t>
  </si>
  <si>
    <t>30.06.'22</t>
  </si>
  <si>
    <t>Diepte - van muur tot en met staander  [mm] (D4)</t>
  </si>
  <si>
    <t>Diepte - van vrijstaand tot en met staander [mm] (D5)</t>
  </si>
  <si>
    <t>Länge - Sparren Mitte [mm] (S1)</t>
  </si>
  <si>
    <t>Länge - Sparren Außen [mm] (S1)</t>
  </si>
  <si>
    <t>length - middle rafter  [mm] (S1)</t>
  </si>
  <si>
    <t>length - outer rafter [mm] (S1)</t>
  </si>
  <si>
    <t>Sprache über Dropdown im gelben Feld einstellbar</t>
  </si>
  <si>
    <t>(Deutsch / Niederländisch / Englisch)</t>
  </si>
  <si>
    <t>Parameter des zu kalkulierenden Daches über gelbe Felder eingeben</t>
  </si>
  <si>
    <t>Neigung Glas Ultraline [°] (β)</t>
  </si>
  <si>
    <t>inclination glas Ultraline[°] (β)</t>
  </si>
  <si>
    <t>Neigung [°] (α)</t>
  </si>
  <si>
    <t>inclination [°] (α)</t>
  </si>
  <si>
    <t>Dakoverstek [mm] (U1)</t>
  </si>
  <si>
    <t>Dachüberstand [mm] (U1)</t>
  </si>
  <si>
    <t>roof overhang [mm] (U1)</t>
  </si>
  <si>
    <t>Tiefe - Hinterkante Wandanschluss bis Mitte Pfosten [mm] (D1)</t>
  </si>
  <si>
    <t>Depth - rear edge of wall connection to center of mullion [mm] (D1)</t>
  </si>
  <si>
    <t>Diepte - achterrand muuraansluiting tot hart staander [mm] (D1)</t>
  </si>
  <si>
    <t>Tiefe - Hinterkante Wandanschluss bis Rinne Standard [mm] (D3)</t>
  </si>
  <si>
    <t>Tiefe - Hinterkante Wandanschluss bis Zierleiste rund [mm] (D3)</t>
  </si>
  <si>
    <t>Tiefe - Hinterkante Wandanschluss bis Zierleiste klassik [mm] (D3)</t>
  </si>
  <si>
    <t>Tiefe - Hinterkante Wandanschluss bis Innenkante Pfosten [mm] (D2)</t>
  </si>
  <si>
    <t>Hinterkante Wandanschluss bis Außenkante Pfosten [mm] (D4)</t>
  </si>
  <si>
    <t>Hinterkante Wandanschluss bis Außenkante Pfosten [mm] (D5)</t>
  </si>
  <si>
    <t>Skyline</t>
  </si>
  <si>
    <t>ALUXE Carport</t>
  </si>
  <si>
    <t>Orangeline</t>
  </si>
  <si>
    <t>Orangeline+</t>
  </si>
  <si>
    <t>Trendline+</t>
  </si>
  <si>
    <t>Skyline Freistand</t>
  </si>
  <si>
    <t>ALUXE Carport Freistand</t>
  </si>
  <si>
    <t>Gelbe Zellen manuell ausfüllen!</t>
  </si>
  <si>
    <t>TFl</t>
  </si>
  <si>
    <t>Neigung [mm/m]</t>
  </si>
  <si>
    <t>Helling [mm/m]</t>
  </si>
  <si>
    <t>inclination [mm/m]</t>
  </si>
  <si>
    <t>Standard</t>
  </si>
  <si>
    <t>Carport</t>
  </si>
  <si>
    <t>Carport Freistand</t>
  </si>
  <si>
    <t>Breite Überdachung</t>
  </si>
  <si>
    <t>Anzahl Felder</t>
  </si>
  <si>
    <t>Anzahl Sparren</t>
  </si>
  <si>
    <t>Breite Inzetprofil</t>
  </si>
  <si>
    <t>Plattenrechner</t>
  </si>
  <si>
    <t>Bekannte Dachbreite</t>
  </si>
  <si>
    <t>Bekannte Plattenbreite</t>
  </si>
  <si>
    <t>Breite Platten</t>
  </si>
  <si>
    <t>Hoogte - bovenkant XL-muurprofiel [mm] (H2)</t>
  </si>
  <si>
    <t>Höhe - Oberkante XL-Wandprofil [mm] (H2)</t>
  </si>
  <si>
    <t>height - of top edge of XL wall profile [mm] (H2)</t>
  </si>
  <si>
    <t>Muurprofiel</t>
  </si>
  <si>
    <t>Wandprofil</t>
  </si>
  <si>
    <t>wall profile</t>
  </si>
  <si>
    <t>Standaard</t>
  </si>
  <si>
    <t>XL</t>
  </si>
  <si>
    <r>
      <t>Helling [°] (</t>
    </r>
    <r>
      <rPr>
        <sz val="11"/>
        <color theme="0"/>
        <rFont val="Calibri"/>
        <family val="2"/>
      </rPr>
      <t>α</t>
    </r>
    <r>
      <rPr>
        <sz val="7.7"/>
        <color theme="0"/>
        <rFont val="Calibri"/>
        <family val="2"/>
      </rPr>
      <t>)</t>
    </r>
  </si>
  <si>
    <r>
      <t>Helling glas Ultraline [°] (</t>
    </r>
    <r>
      <rPr>
        <sz val="11"/>
        <color theme="0"/>
        <rFont val="Calibri"/>
        <family val="2"/>
      </rPr>
      <t>β</t>
    </r>
    <r>
      <rPr>
        <sz val="11"/>
        <color theme="0"/>
        <rFont val="Calibri"/>
        <family val="2"/>
        <scheme val="minor"/>
      </rPr>
      <t>)</t>
    </r>
  </si>
  <si>
    <t>Sierlijst</t>
  </si>
  <si>
    <t>Zierleiste</t>
  </si>
  <si>
    <t>Decorative cover</t>
  </si>
  <si>
    <t>Rond</t>
  </si>
  <si>
    <t>Rund</t>
  </si>
  <si>
    <t>Round</t>
  </si>
  <si>
    <t>Klassiek</t>
  </si>
  <si>
    <t>Klassik</t>
  </si>
  <si>
    <t>Classical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</si>
</sst>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</font>
    <font>
      <sz val="7.7"/>
      <color theme="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5">
    <xf numFmtId="0" fontId="0" fillId="0" borderId="0" xfId="0"/>
    <xf numFmtId="1" fontId="2" fillId="3" borderId="0" xfId="0" applyNumberFormat="1" applyFont="1" applyFill="1" applyAlignment="1" applyProtection="1">
      <alignment horizontal="center" vertical="center"/>
      <protection hidden="1"/>
    </xf>
    <xf numFmtId="1" fontId="2" fillId="3" borderId="15" xfId="0" applyNumberFormat="1" applyFont="1" applyFill="1" applyBorder="1" applyAlignment="1" applyProtection="1">
      <alignment horizontal="center" vertical="center"/>
      <protection hidden="1"/>
    </xf>
    <xf numFmtId="1" fontId="2" fillId="3" borderId="16" xfId="0" applyNumberFormat="1" applyFont="1" applyFill="1" applyBorder="1" applyAlignment="1" applyProtection="1">
      <alignment horizontal="center" vertical="center"/>
      <protection hidden="1"/>
    </xf>
    <xf numFmtId="1" fontId="2" fillId="3" borderId="19" xfId="0" applyNumberFormat="1" applyFont="1" applyFill="1" applyBorder="1" applyAlignment="1" applyProtection="1">
      <alignment horizontal="center" vertical="center"/>
      <protection hidden="1"/>
    </xf>
    <xf numFmtId="1" fontId="2" fillId="4" borderId="15" xfId="0" applyNumberFormat="1" applyFont="1" applyFill="1" applyBorder="1" applyAlignment="1" applyProtection="1">
      <alignment horizontal="center" vertical="center"/>
      <protection hidden="1"/>
    </xf>
    <xf numFmtId="0" fontId="0" fillId="5" borderId="27" xfId="0" applyFill="1" applyBorder="1" applyAlignment="1">
      <alignment horizontal="center" vertical="center"/>
    </xf>
    <xf numFmtId="1" fontId="2" fillId="3" borderId="34" xfId="0" applyNumberFormat="1" applyFont="1" applyFill="1" applyBorder="1" applyAlignment="1" applyProtection="1">
      <alignment horizontal="center" vertical="center"/>
      <protection hidden="1"/>
    </xf>
    <xf numFmtId="1" fontId="1" fillId="3" borderId="0" xfId="0" applyNumberFormat="1" applyFont="1" applyFill="1" applyAlignment="1" applyProtection="1">
      <alignment horizontal="center" vertical="center"/>
      <protection hidden="1"/>
    </xf>
    <xf numFmtId="1" fontId="2" fillId="0" borderId="7" xfId="0" applyNumberFormat="1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 applyProtection="1">
      <alignment horizontal="center" vertical="center"/>
      <protection hidden="1"/>
    </xf>
    <xf numFmtId="1" fontId="2" fillId="0" borderId="34" xfId="0" applyNumberFormat="1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 applyProtection="1">
      <alignment horizontal="center" vertical="center"/>
      <protection hidden="1"/>
    </xf>
    <xf numFmtId="1" fontId="1" fillId="0" borderId="0" xfId="0" applyNumberFormat="1" applyFont="1" applyAlignment="1" applyProtection="1">
      <alignment horizontal="center" vertical="center"/>
      <protection hidden="1"/>
    </xf>
    <xf numFmtId="0" fontId="0" fillId="2" borderId="28" xfId="0" applyFill="1" applyBorder="1" applyAlignment="1" applyProtection="1">
      <alignment horizontal="center" vertical="center"/>
      <protection locked="0"/>
    </xf>
    <xf numFmtId="1" fontId="2" fillId="0" borderId="35" xfId="0" applyNumberFormat="1" applyFont="1" applyBorder="1" applyAlignment="1" applyProtection="1">
      <alignment horizontal="center" vertical="center"/>
      <protection hidden="1"/>
    </xf>
    <xf numFmtId="1" fontId="2" fillId="0" borderId="33" xfId="0" applyNumberFormat="1" applyFont="1" applyBorder="1" applyAlignment="1" applyProtection="1">
      <alignment horizontal="center" vertical="center"/>
      <protection hidden="1"/>
    </xf>
    <xf numFmtId="2" fontId="2" fillId="3" borderId="15" xfId="0" applyNumberFormat="1" applyFont="1" applyFill="1" applyBorder="1" applyAlignment="1" applyProtection="1">
      <alignment horizontal="center" vertical="center"/>
      <protection hidden="1"/>
    </xf>
    <xf numFmtId="1" fontId="2" fillId="0" borderId="42" xfId="0" applyNumberFormat="1" applyFont="1" applyBorder="1" applyAlignment="1" applyProtection="1">
      <alignment horizontal="center" vertical="center"/>
      <protection hidden="1"/>
    </xf>
    <xf numFmtId="1" fontId="2" fillId="0" borderId="19" xfId="0" applyNumberFormat="1" applyFont="1" applyBorder="1" applyAlignment="1" applyProtection="1">
      <alignment horizontal="center" vertical="center"/>
      <protection hidden="1"/>
    </xf>
    <xf numFmtId="1" fontId="2" fillId="3" borderId="45" xfId="0" applyNumberFormat="1" applyFont="1" applyFill="1" applyBorder="1" applyAlignment="1" applyProtection="1">
      <alignment horizontal="center" vertical="center"/>
      <protection hidden="1"/>
    </xf>
    <xf numFmtId="1" fontId="2" fillId="3" borderId="46" xfId="0" applyNumberFormat="1" applyFont="1" applyFill="1" applyBorder="1" applyAlignment="1" applyProtection="1">
      <alignment horizontal="center" vertical="center"/>
      <protection hidden="1"/>
    </xf>
    <xf numFmtId="1" fontId="2" fillId="0" borderId="48" xfId="0" applyNumberFormat="1" applyFont="1" applyBorder="1" applyAlignment="1" applyProtection="1">
      <alignment horizontal="center" vertical="center"/>
      <protection hidden="1"/>
    </xf>
    <xf numFmtId="1" fontId="2" fillId="0" borderId="45" xfId="0" applyNumberFormat="1" applyFont="1" applyBorder="1" applyAlignment="1" applyProtection="1">
      <alignment horizontal="center" vertical="center"/>
      <protection hidden="1"/>
    </xf>
    <xf numFmtId="1" fontId="2" fillId="0" borderId="47" xfId="0" applyNumberFormat="1" applyFont="1" applyBorder="1" applyAlignment="1" applyProtection="1">
      <alignment horizontal="center" vertical="center"/>
      <protection hidden="1"/>
    </xf>
    <xf numFmtId="1" fontId="7" fillId="3" borderId="47" xfId="0" applyNumberFormat="1" applyFont="1" applyFill="1" applyBorder="1" applyAlignment="1" applyProtection="1">
      <alignment horizontal="center" vertical="center"/>
      <protection hidden="1"/>
    </xf>
    <xf numFmtId="2" fontId="1" fillId="3" borderId="0" xfId="0" applyNumberFormat="1" applyFont="1" applyFill="1" applyAlignment="1" applyProtection="1">
      <alignment horizontal="center" vertical="center"/>
      <protection hidden="1"/>
    </xf>
    <xf numFmtId="1" fontId="7" fillId="0" borderId="35" xfId="0" applyNumberFormat="1" applyFont="1" applyBorder="1" applyAlignment="1" applyProtection="1">
      <alignment horizontal="center" vertical="center"/>
      <protection hidden="1"/>
    </xf>
    <xf numFmtId="1" fontId="7" fillId="3" borderId="16" xfId="0" applyNumberFormat="1" applyFont="1" applyFill="1" applyBorder="1" applyAlignment="1" applyProtection="1">
      <alignment horizontal="center" vertical="center"/>
      <protection hidden="1"/>
    </xf>
    <xf numFmtId="1" fontId="7" fillId="0" borderId="15" xfId="0" applyNumberFormat="1" applyFont="1" applyBorder="1" applyAlignment="1" applyProtection="1">
      <alignment horizontal="center" vertical="center"/>
      <protection hidden="1"/>
    </xf>
    <xf numFmtId="1" fontId="7" fillId="0" borderId="16" xfId="0" applyNumberFormat="1" applyFont="1" applyBorder="1" applyAlignment="1" applyProtection="1">
      <alignment horizontal="center" vertical="center"/>
      <protection hidden="1"/>
    </xf>
    <xf numFmtId="1" fontId="7" fillId="3" borderId="56" xfId="0" applyNumberFormat="1" applyFont="1" applyFill="1" applyBorder="1" applyAlignment="1" applyProtection="1">
      <alignment horizontal="center" vertical="center"/>
      <protection hidden="1"/>
    </xf>
    <xf numFmtId="1" fontId="7" fillId="0" borderId="7" xfId="0" applyNumberFormat="1" applyFont="1" applyBorder="1" applyAlignment="1" applyProtection="1">
      <alignment horizontal="center" vertical="center"/>
      <protection hidden="1"/>
    </xf>
    <xf numFmtId="1" fontId="7" fillId="0" borderId="43" xfId="0" applyNumberFormat="1" applyFont="1" applyBorder="1" applyAlignment="1" applyProtection="1">
      <alignment horizontal="center" vertical="center"/>
      <protection hidden="1"/>
    </xf>
    <xf numFmtId="1" fontId="7" fillId="0" borderId="51" xfId="0" applyNumberFormat="1" applyFont="1" applyBorder="1" applyAlignment="1" applyProtection="1">
      <alignment horizontal="center" vertical="center"/>
      <protection hidden="1"/>
    </xf>
    <xf numFmtId="1" fontId="7" fillId="0" borderId="50" xfId="0" applyNumberFormat="1" applyFont="1" applyBorder="1" applyAlignment="1" applyProtection="1">
      <alignment horizontal="center" vertical="center"/>
      <protection hidden="1"/>
    </xf>
    <xf numFmtId="2" fontId="7" fillId="3" borderId="15" xfId="0" applyNumberFormat="1" applyFont="1" applyFill="1" applyBorder="1" applyAlignment="1" applyProtection="1">
      <alignment horizontal="center" vertical="center"/>
      <protection hidden="1"/>
    </xf>
    <xf numFmtId="1" fontId="7" fillId="3" borderId="45" xfId="0" applyNumberFormat="1" applyFont="1" applyFill="1" applyBorder="1" applyAlignment="1" applyProtection="1">
      <alignment horizontal="center" vertical="center"/>
      <protection hidden="1"/>
    </xf>
    <xf numFmtId="1" fontId="7" fillId="3" borderId="15" xfId="0" applyNumberFormat="1" applyFont="1" applyFill="1" applyBorder="1" applyAlignment="1" applyProtection="1">
      <alignment horizontal="center" vertical="center"/>
      <protection hidden="1"/>
    </xf>
    <xf numFmtId="1" fontId="7" fillId="3" borderId="46" xfId="0" applyNumberFormat="1" applyFont="1" applyFill="1" applyBorder="1" applyAlignment="1" applyProtection="1">
      <alignment horizontal="center" vertical="center"/>
      <protection hidden="1"/>
    </xf>
    <xf numFmtId="1" fontId="7" fillId="0" borderId="48" xfId="0" applyNumberFormat="1" applyFont="1" applyBorder="1" applyAlignment="1" applyProtection="1">
      <alignment horizontal="center" vertical="center"/>
      <protection hidden="1"/>
    </xf>
    <xf numFmtId="1" fontId="7" fillId="0" borderId="45" xfId="0" applyNumberFormat="1" applyFont="1" applyBorder="1" applyAlignment="1" applyProtection="1">
      <alignment horizontal="center" vertical="center"/>
      <protection hidden="1"/>
    </xf>
    <xf numFmtId="1" fontId="7" fillId="0" borderId="47" xfId="0" applyNumberFormat="1" applyFont="1" applyBorder="1" applyAlignment="1" applyProtection="1">
      <alignment horizontal="center" vertical="center"/>
      <protection hidden="1"/>
    </xf>
    <xf numFmtId="1" fontId="7" fillId="3" borderId="34" xfId="0" applyNumberFormat="1" applyFont="1" applyFill="1" applyBorder="1" applyAlignment="1" applyProtection="1">
      <alignment horizontal="center" vertical="center"/>
      <protection hidden="1"/>
    </xf>
    <xf numFmtId="1" fontId="7" fillId="3" borderId="35" xfId="0" applyNumberFormat="1" applyFont="1" applyFill="1" applyBorder="1" applyAlignment="1" applyProtection="1">
      <alignment horizontal="center" vertical="center"/>
      <protection hidden="1"/>
    </xf>
    <xf numFmtId="2" fontId="7" fillId="3" borderId="11" xfId="0" applyNumberFormat="1" applyFont="1" applyFill="1" applyBorder="1" applyAlignment="1" applyProtection="1">
      <alignment horizontal="center" vertical="center"/>
      <protection hidden="1"/>
    </xf>
    <xf numFmtId="1" fontId="7" fillId="3" borderId="11" xfId="0" applyNumberFormat="1" applyFont="1" applyFill="1" applyBorder="1" applyAlignment="1" applyProtection="1">
      <alignment horizontal="center" vertical="center"/>
      <protection hidden="1"/>
    </xf>
    <xf numFmtId="1" fontId="7" fillId="3" borderId="52" xfId="0" applyNumberFormat="1" applyFont="1" applyFill="1" applyBorder="1" applyAlignment="1" applyProtection="1">
      <alignment horizontal="center" vertical="center"/>
      <protection hidden="1"/>
    </xf>
    <xf numFmtId="1" fontId="7" fillId="3" borderId="55" xfId="0" applyNumberFormat="1" applyFont="1" applyFill="1" applyBorder="1" applyAlignment="1" applyProtection="1">
      <alignment horizontal="center" vertical="center"/>
      <protection hidden="1"/>
    </xf>
    <xf numFmtId="1" fontId="7" fillId="3" borderId="57" xfId="0" applyNumberFormat="1" applyFont="1" applyFill="1" applyBorder="1" applyAlignment="1" applyProtection="1">
      <alignment horizontal="center" vertical="center"/>
      <protection hidden="1"/>
    </xf>
    <xf numFmtId="1" fontId="8" fillId="3" borderId="52" xfId="0" applyNumberFormat="1" applyFont="1" applyFill="1" applyBorder="1" applyAlignment="1" applyProtection="1">
      <alignment horizontal="center" vertical="center"/>
      <protection hidden="1"/>
    </xf>
    <xf numFmtId="164" fontId="7" fillId="0" borderId="7" xfId="0" applyNumberFormat="1" applyFont="1" applyBorder="1" applyAlignment="1" applyProtection="1">
      <alignment horizontal="center" vertical="center"/>
      <protection hidden="1"/>
    </xf>
    <xf numFmtId="164" fontId="2" fillId="3" borderId="15" xfId="0" applyNumberFormat="1" applyFont="1" applyFill="1" applyBorder="1" applyAlignment="1" applyProtection="1">
      <alignment horizontal="center" vertical="center"/>
      <protection hidden="1"/>
    </xf>
    <xf numFmtId="164" fontId="7" fillId="3" borderId="15" xfId="0" applyNumberFormat="1" applyFont="1" applyFill="1" applyBorder="1" applyAlignment="1" applyProtection="1">
      <alignment horizontal="center" vertical="center"/>
      <protection hidden="1"/>
    </xf>
    <xf numFmtId="164" fontId="7" fillId="3" borderId="52" xfId="0" applyNumberFormat="1" applyFont="1" applyFill="1" applyBorder="1" applyAlignment="1" applyProtection="1">
      <alignment horizontal="center" vertical="center"/>
      <protection hidden="1"/>
    </xf>
    <xf numFmtId="164" fontId="2" fillId="0" borderId="43" xfId="0" applyNumberFormat="1" applyFont="1" applyBorder="1" applyAlignment="1" applyProtection="1">
      <alignment horizontal="center" vertical="center"/>
      <protection hidden="1"/>
    </xf>
    <xf numFmtId="164" fontId="7" fillId="0" borderId="15" xfId="0" applyNumberFormat="1" applyFont="1" applyBorder="1" applyAlignment="1" applyProtection="1">
      <alignment horizontal="center" vertical="center"/>
      <protection hidden="1"/>
    </xf>
    <xf numFmtId="164" fontId="2" fillId="0" borderId="15" xfId="0" applyNumberFormat="1" applyFont="1" applyBorder="1" applyAlignment="1" applyProtection="1">
      <alignment horizontal="center" vertical="center"/>
      <protection hidden="1"/>
    </xf>
    <xf numFmtId="164" fontId="2" fillId="3" borderId="45" xfId="0" applyNumberFormat="1" applyFont="1" applyFill="1" applyBorder="1" applyAlignment="1" applyProtection="1">
      <alignment horizontal="center" vertical="center"/>
      <protection hidden="1"/>
    </xf>
    <xf numFmtId="164" fontId="7" fillId="3" borderId="45" xfId="0" applyNumberFormat="1" applyFont="1" applyFill="1" applyBorder="1" applyAlignment="1" applyProtection="1">
      <alignment horizontal="center" vertical="center"/>
      <protection hidden="1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164" fontId="7" fillId="0" borderId="52" xfId="0" applyNumberFormat="1" applyFont="1" applyBorder="1" applyAlignment="1" applyProtection="1">
      <alignment horizontal="center" vertical="center"/>
      <protection hidden="1"/>
    </xf>
    <xf numFmtId="164" fontId="2" fillId="0" borderId="52" xfId="0" applyNumberFormat="1" applyFont="1" applyBorder="1" applyAlignment="1" applyProtection="1">
      <alignment horizontal="center" vertical="center"/>
      <protection hidden="1"/>
    </xf>
    <xf numFmtId="1" fontId="2" fillId="4" borderId="52" xfId="0" applyNumberFormat="1" applyFont="1" applyFill="1" applyBorder="1" applyAlignment="1" applyProtection="1">
      <alignment horizontal="center" vertical="center"/>
      <protection hidden="1"/>
    </xf>
    <xf numFmtId="1" fontId="2" fillId="0" borderId="52" xfId="0" applyNumberFormat="1" applyFont="1" applyBorder="1" applyAlignment="1" applyProtection="1">
      <alignment horizontal="center" vertical="center"/>
      <protection hidden="1"/>
    </xf>
    <xf numFmtId="1" fontId="2" fillId="0" borderId="55" xfId="0" applyNumberFormat="1" applyFont="1" applyBorder="1" applyAlignment="1" applyProtection="1">
      <alignment horizontal="center" vertical="center"/>
      <protection hidden="1"/>
    </xf>
    <xf numFmtId="1" fontId="2" fillId="3" borderId="56" xfId="0" applyNumberFormat="1" applyFont="1" applyFill="1" applyBorder="1" applyAlignment="1" applyProtection="1">
      <alignment horizontal="center" vertical="center"/>
      <protection hidden="1"/>
    </xf>
    <xf numFmtId="1" fontId="2" fillId="0" borderId="57" xfId="0" applyNumberFormat="1" applyFont="1" applyBorder="1" applyAlignment="1" applyProtection="1">
      <alignment horizontal="center" vertical="center"/>
      <protection hidden="1"/>
    </xf>
    <xf numFmtId="1" fontId="2" fillId="0" borderId="56" xfId="0" applyNumberFormat="1" applyFont="1" applyBorder="1" applyAlignment="1" applyProtection="1">
      <alignment horizontal="center" vertical="center"/>
      <protection hidden="1"/>
    </xf>
    <xf numFmtId="1" fontId="7" fillId="2" borderId="52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protection hidden="1"/>
    </xf>
    <xf numFmtId="0" fontId="0" fillId="3" borderId="2" xfId="0" applyFill="1" applyBorder="1" applyProtection="1">
      <protection hidden="1"/>
    </xf>
    <xf numFmtId="0" fontId="0" fillId="5" borderId="27" xfId="0" applyFill="1" applyBorder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0" fillId="3" borderId="3" xfId="0" applyFill="1" applyBorder="1" applyProtection="1">
      <protection hidden="1"/>
    </xf>
    <xf numFmtId="0" fontId="0" fillId="3" borderId="20" xfId="0" applyFill="1" applyBorder="1" applyProtection="1">
      <protection hidden="1"/>
    </xf>
    <xf numFmtId="0" fontId="0" fillId="3" borderId="4" xfId="0" applyFill="1" applyBorder="1" applyProtection="1"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0" fillId="3" borderId="4" xfId="0" applyFill="1" applyBorder="1" applyAlignment="1" applyProtection="1">
      <alignment horizontal="center"/>
      <protection hidden="1"/>
    </xf>
    <xf numFmtId="0" fontId="11" fillId="3" borderId="21" xfId="0" applyFont="1" applyFill="1" applyBorder="1" applyAlignment="1" applyProtection="1">
      <alignment horizontal="center"/>
      <protection hidden="1"/>
    </xf>
    <xf numFmtId="0" fontId="12" fillId="3" borderId="22" xfId="0" applyFont="1" applyFill="1" applyBorder="1" applyAlignment="1" applyProtection="1">
      <alignment horizontal="center"/>
      <protection hidden="1"/>
    </xf>
    <xf numFmtId="0" fontId="13" fillId="3" borderId="22" xfId="0" applyFont="1" applyFill="1" applyBorder="1" applyAlignment="1" applyProtection="1">
      <alignment horizontal="center"/>
      <protection hidden="1"/>
    </xf>
    <xf numFmtId="0" fontId="12" fillId="3" borderId="14" xfId="0" applyFont="1" applyFill="1" applyBorder="1" applyAlignment="1" applyProtection="1">
      <alignment horizontal="center"/>
      <protection hidden="1"/>
    </xf>
    <xf numFmtId="0" fontId="11" fillId="3" borderId="0" xfId="0" applyFont="1" applyFill="1" applyProtection="1">
      <protection hidden="1"/>
    </xf>
    <xf numFmtId="0" fontId="0" fillId="3" borderId="29" xfId="0" applyFill="1" applyBorder="1" applyProtection="1">
      <protection hidden="1"/>
    </xf>
    <xf numFmtId="0" fontId="1" fillId="3" borderId="0" xfId="0" applyFont="1" applyFill="1" applyAlignment="1" applyProtection="1">
      <alignment textRotation="90" wrapText="1"/>
      <protection hidden="1"/>
    </xf>
    <xf numFmtId="0" fontId="0" fillId="3" borderId="8" xfId="0" applyFill="1" applyBorder="1" applyProtection="1">
      <protection hidden="1"/>
    </xf>
    <xf numFmtId="0" fontId="9" fillId="3" borderId="8" xfId="0" applyFont="1" applyFill="1" applyBorder="1" applyAlignment="1" applyProtection="1">
      <alignment horizontal="center" vertical="center"/>
      <protection hidden="1"/>
    </xf>
    <xf numFmtId="0" fontId="10" fillId="3" borderId="10" xfId="0" applyFont="1" applyFill="1" applyBorder="1" applyAlignment="1" applyProtection="1">
      <alignment vertical="center" wrapText="1"/>
      <protection hidden="1"/>
    </xf>
    <xf numFmtId="0" fontId="11" fillId="3" borderId="0" xfId="0" applyFont="1" applyFill="1" applyAlignment="1" applyProtection="1">
      <alignment vertical="top" wrapText="1"/>
      <protection hidden="1"/>
    </xf>
    <xf numFmtId="0" fontId="4" fillId="3" borderId="0" xfId="0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" fontId="2" fillId="3" borderId="52" xfId="0" applyNumberFormat="1" applyFont="1" applyFill="1" applyBorder="1" applyAlignment="1" applyProtection="1">
      <alignment horizontal="center" vertical="center"/>
      <protection hidden="1"/>
    </xf>
    <xf numFmtId="1" fontId="2" fillId="2" borderId="54" xfId="0" applyNumberFormat="1" applyFont="1" applyFill="1" applyBorder="1" applyAlignment="1" applyProtection="1">
      <alignment horizontal="center" vertical="center"/>
      <protection locked="0"/>
    </xf>
    <xf numFmtId="1" fontId="2" fillId="3" borderId="54" xfId="0" applyNumberFormat="1" applyFont="1" applyFill="1" applyBorder="1" applyAlignment="1" applyProtection="1">
      <alignment horizontal="center" vertical="center"/>
      <protection hidden="1"/>
    </xf>
    <xf numFmtId="1" fontId="2" fillId="2" borderId="52" xfId="0" applyNumberFormat="1" applyFont="1" applyFill="1" applyBorder="1" applyAlignment="1" applyProtection="1">
      <alignment horizontal="center" vertical="center"/>
      <protection locked="0"/>
    </xf>
    <xf numFmtId="0" fontId="0" fillId="3" borderId="21" xfId="0" applyFill="1" applyBorder="1" applyAlignment="1" applyProtection="1">
      <alignment horizontal="center"/>
      <protection hidden="1"/>
    </xf>
    <xf numFmtId="0" fontId="0" fillId="3" borderId="22" xfId="0" applyFill="1" applyBorder="1" applyAlignment="1" applyProtection="1">
      <alignment horizontal="center"/>
      <protection hidden="1"/>
    </xf>
    <xf numFmtId="0" fontId="0" fillId="3" borderId="14" xfId="0" applyFill="1" applyBorder="1" applyAlignment="1" applyProtection="1">
      <alignment horizontal="center"/>
      <protection hidden="1"/>
    </xf>
    <xf numFmtId="0" fontId="1" fillId="3" borderId="9" xfId="0" applyFont="1" applyFill="1" applyBorder="1" applyProtection="1">
      <protection hidden="1"/>
    </xf>
    <xf numFmtId="0" fontId="7" fillId="3" borderId="13" xfId="0" applyFont="1" applyFill="1" applyBorder="1" applyProtection="1"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center" vertical="center"/>
      <protection hidden="1"/>
    </xf>
    <xf numFmtId="0" fontId="2" fillId="2" borderId="49" xfId="0" applyFont="1" applyFill="1" applyBorder="1" applyAlignment="1" applyProtection="1">
      <alignment horizontal="center" vertical="center"/>
      <protection hidden="1"/>
    </xf>
    <xf numFmtId="0" fontId="2" fillId="2" borderId="43" xfId="0" applyFont="1" applyFill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/>
      <protection hidden="1"/>
    </xf>
    <xf numFmtId="0" fontId="2" fillId="2" borderId="15" xfId="0" applyFont="1" applyFill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2" borderId="15" xfId="0" applyNumberFormat="1" applyFont="1" applyFill="1" applyBorder="1" applyAlignment="1" applyProtection="1">
      <alignment horizontal="center" vertical="center"/>
      <protection hidden="1"/>
    </xf>
    <xf numFmtId="0" fontId="7" fillId="3" borderId="17" xfId="0" applyFont="1" applyFill="1" applyBorder="1" applyProtection="1">
      <protection hidden="1"/>
    </xf>
    <xf numFmtId="1" fontId="2" fillId="0" borderId="18" xfId="0" applyNumberFormat="1" applyFont="1" applyBorder="1" applyAlignment="1" applyProtection="1">
      <alignment horizontal="center" vertical="center"/>
      <protection hidden="1"/>
    </xf>
    <xf numFmtId="1" fontId="2" fillId="2" borderId="44" xfId="0" applyNumberFormat="1" applyFont="1" applyFill="1" applyBorder="1" applyAlignment="1" applyProtection="1">
      <alignment horizontal="center" vertical="center"/>
      <protection hidden="1"/>
    </xf>
    <xf numFmtId="0" fontId="2" fillId="2" borderId="45" xfId="0" applyFont="1" applyFill="1" applyBorder="1" applyAlignment="1" applyProtection="1">
      <alignment horizontal="center" vertical="center"/>
      <protection hidden="1"/>
    </xf>
    <xf numFmtId="1" fontId="2" fillId="2" borderId="18" xfId="0" applyNumberFormat="1" applyFont="1" applyFill="1" applyBorder="1" applyAlignment="1" applyProtection="1">
      <alignment horizontal="center" vertical="center"/>
      <protection hidden="1"/>
    </xf>
    <xf numFmtId="0" fontId="7" fillId="3" borderId="9" xfId="0" applyFont="1" applyFill="1" applyBorder="1" applyProtection="1">
      <protection hidden="1"/>
    </xf>
    <xf numFmtId="0" fontId="2" fillId="3" borderId="18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Protection="1">
      <protection hidden="1"/>
    </xf>
    <xf numFmtId="0" fontId="2" fillId="3" borderId="54" xfId="0" applyFont="1" applyFill="1" applyBorder="1" applyAlignment="1" applyProtection="1">
      <alignment horizontal="center" vertical="center"/>
      <protection hidden="1"/>
    </xf>
    <xf numFmtId="0" fontId="2" fillId="3" borderId="52" xfId="0" applyFont="1" applyFill="1" applyBorder="1" applyAlignment="1" applyProtection="1">
      <alignment horizontal="center" vertical="center"/>
      <protection hidden="1"/>
    </xf>
    <xf numFmtId="0" fontId="7" fillId="3" borderId="11" xfId="0" applyFont="1" applyFill="1" applyBorder="1" applyAlignment="1" applyProtection="1">
      <alignment horizontal="center" vertical="center"/>
      <protection hidden="1"/>
    </xf>
    <xf numFmtId="1" fontId="0" fillId="3" borderId="0" xfId="0" applyNumberFormat="1" applyFill="1" applyAlignment="1" applyProtection="1">
      <alignment horizontal="center"/>
      <protection hidden="1"/>
    </xf>
    <xf numFmtId="0" fontId="20" fillId="10" borderId="1" xfId="0" applyFont="1" applyFill="1" applyBorder="1"/>
    <xf numFmtId="0" fontId="21" fillId="10" borderId="2" xfId="0" applyFont="1" applyFill="1" applyBorder="1"/>
    <xf numFmtId="0" fontId="21" fillId="10" borderId="20" xfId="0" applyFont="1" applyFill="1" applyBorder="1" applyAlignment="1">
      <alignment horizontal="center" wrapText="1"/>
    </xf>
    <xf numFmtId="0" fontId="0" fillId="3" borderId="0" xfId="0" applyFill="1"/>
    <xf numFmtId="0" fontId="21" fillId="10" borderId="1" xfId="0" applyFont="1" applyFill="1" applyBorder="1" applyAlignment="1">
      <alignment horizontal="center" wrapText="1"/>
    </xf>
    <xf numFmtId="0" fontId="18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1" fillId="12" borderId="64" xfId="0" applyFont="1" applyFill="1" applyBorder="1" applyAlignment="1">
      <alignment horizontal="center" wrapText="1"/>
    </xf>
    <xf numFmtId="1" fontId="23" fillId="12" borderId="65" xfId="0" applyNumberFormat="1" applyFont="1" applyFill="1" applyBorder="1" applyAlignment="1">
      <alignment horizontal="center"/>
    </xf>
    <xf numFmtId="1" fontId="23" fillId="12" borderId="66" xfId="0" applyNumberFormat="1" applyFont="1" applyFill="1" applyBorder="1" applyAlignment="1">
      <alignment horizontal="center"/>
    </xf>
    <xf numFmtId="1" fontId="17" fillId="2" borderId="41" xfId="0" applyNumberFormat="1" applyFont="1" applyFill="1" applyBorder="1" applyAlignment="1" applyProtection="1">
      <alignment horizontal="center"/>
      <protection locked="0"/>
    </xf>
    <xf numFmtId="1" fontId="17" fillId="2" borderId="67" xfId="0" applyNumberFormat="1" applyFont="1" applyFill="1" applyBorder="1" applyAlignment="1" applyProtection="1">
      <alignment horizontal="center"/>
      <protection locked="0"/>
    </xf>
    <xf numFmtId="1" fontId="17" fillId="2" borderId="62" xfId="0" applyNumberFormat="1" applyFont="1" applyFill="1" applyBorder="1" applyAlignment="1" applyProtection="1">
      <alignment horizontal="center"/>
      <protection locked="0"/>
    </xf>
    <xf numFmtId="1" fontId="17" fillId="2" borderId="63" xfId="0" applyNumberFormat="1" applyFont="1" applyFill="1" applyBorder="1" applyAlignment="1" applyProtection="1">
      <alignment horizontal="center"/>
      <protection locked="0"/>
    </xf>
    <xf numFmtId="1" fontId="2" fillId="0" borderId="72" xfId="0" applyNumberFormat="1" applyFont="1" applyBorder="1" applyAlignment="1" applyProtection="1">
      <alignment horizontal="center" vertical="center"/>
      <protection hidden="1"/>
    </xf>
    <xf numFmtId="1" fontId="2" fillId="0" borderId="73" xfId="0" applyNumberFormat="1" applyFont="1" applyBorder="1" applyAlignment="1" applyProtection="1">
      <alignment horizontal="center" vertical="center"/>
      <protection hidden="1"/>
    </xf>
    <xf numFmtId="1" fontId="2" fillId="3" borderId="73" xfId="0" applyNumberFormat="1" applyFont="1" applyFill="1" applyBorder="1" applyAlignment="1" applyProtection="1">
      <alignment horizontal="center" vertical="center"/>
      <protection hidden="1"/>
    </xf>
    <xf numFmtId="1" fontId="7" fillId="3" borderId="73" xfId="0" applyNumberFormat="1" applyFont="1" applyFill="1" applyBorder="1" applyAlignment="1" applyProtection="1">
      <alignment horizontal="center" vertical="center"/>
      <protection hidden="1"/>
    </xf>
    <xf numFmtId="1" fontId="7" fillId="3" borderId="66" xfId="0" applyNumberFormat="1" applyFont="1" applyFill="1" applyBorder="1" applyAlignment="1" applyProtection="1">
      <alignment horizontal="center" vertical="center"/>
      <protection hidden="1"/>
    </xf>
    <xf numFmtId="0" fontId="24" fillId="3" borderId="0" xfId="0" applyFont="1" applyFill="1" applyProtection="1">
      <protection hidden="1"/>
    </xf>
    <xf numFmtId="0" fontId="24" fillId="3" borderId="0" xfId="0" applyFont="1" applyFill="1" applyAlignment="1" applyProtection="1">
      <alignment horizontal="center"/>
      <protection hidden="1"/>
    </xf>
    <xf numFmtId="1" fontId="17" fillId="11" borderId="67" xfId="0" applyNumberFormat="1" applyFont="1" applyFill="1" applyBorder="1" applyAlignment="1" applyProtection="1">
      <alignment horizontal="center"/>
      <protection hidden="1"/>
    </xf>
    <xf numFmtId="1" fontId="5" fillId="11" borderId="67" xfId="0" applyNumberFormat="1" applyFont="1" applyFill="1" applyBorder="1" applyAlignment="1" applyProtection="1">
      <alignment horizontal="center"/>
      <protection hidden="1"/>
    </xf>
    <xf numFmtId="1" fontId="5" fillId="11" borderId="39" xfId="0" applyNumberFormat="1" applyFont="1" applyFill="1" applyBorder="1" applyAlignment="1" applyProtection="1">
      <alignment horizontal="center"/>
      <protection hidden="1"/>
    </xf>
    <xf numFmtId="1" fontId="17" fillId="11" borderId="62" xfId="0" applyNumberFormat="1" applyFont="1" applyFill="1" applyBorder="1" applyAlignment="1" applyProtection="1">
      <alignment horizontal="center"/>
      <protection hidden="1"/>
    </xf>
    <xf numFmtId="1" fontId="5" fillId="11" borderId="62" xfId="0" applyNumberFormat="1" applyFont="1" applyFill="1" applyBorder="1" applyAlignment="1" applyProtection="1">
      <alignment horizontal="center"/>
      <protection hidden="1"/>
    </xf>
    <xf numFmtId="1" fontId="5" fillId="11" borderId="61" xfId="0" applyNumberFormat="1" applyFont="1" applyFill="1" applyBorder="1" applyAlignment="1" applyProtection="1">
      <alignment horizontal="center"/>
      <protection hidden="1"/>
    </xf>
    <xf numFmtId="0" fontId="16" fillId="3" borderId="0" xfId="0" applyFont="1" applyFill="1" applyProtection="1">
      <protection hidden="1"/>
    </xf>
    <xf numFmtId="0" fontId="16" fillId="3" borderId="0" xfId="0" applyFont="1" applyFill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left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6" fillId="3" borderId="0" xfId="0" applyFont="1" applyFill="1" applyAlignment="1" applyProtection="1">
      <alignment horizontal="left" vertical="center"/>
      <protection hidden="1"/>
    </xf>
    <xf numFmtId="1" fontId="27" fillId="3" borderId="0" xfId="0" applyNumberFormat="1" applyFont="1" applyFill="1" applyAlignment="1" applyProtection="1">
      <alignment horizontal="center" vertical="center"/>
      <protection hidden="1"/>
    </xf>
    <xf numFmtId="1" fontId="15" fillId="3" borderId="0" xfId="0" applyNumberFormat="1" applyFont="1" applyFill="1" applyAlignment="1" applyProtection="1">
      <alignment horizontal="center" vertical="center"/>
      <protection hidden="1"/>
    </xf>
    <xf numFmtId="0" fontId="28" fillId="3" borderId="0" xfId="0" applyFont="1" applyFill="1" applyProtection="1">
      <protection hidden="1"/>
    </xf>
    <xf numFmtId="0" fontId="16" fillId="3" borderId="0" xfId="0" applyFont="1" applyFill="1" applyAlignment="1" applyProtection="1">
      <alignment horizontal="center"/>
      <protection hidden="1"/>
    </xf>
    <xf numFmtId="0" fontId="16" fillId="3" borderId="4" xfId="0" applyFont="1" applyFill="1" applyBorder="1" applyAlignment="1" applyProtection="1">
      <alignment horizontal="center"/>
      <protection hidden="1"/>
    </xf>
    <xf numFmtId="0" fontId="12" fillId="3" borderId="0" xfId="0" applyFont="1" applyFill="1" applyProtection="1">
      <protection hidden="1"/>
    </xf>
    <xf numFmtId="0" fontId="16" fillId="3" borderId="4" xfId="0" applyFont="1" applyFill="1" applyBorder="1" applyProtection="1">
      <protection hidden="1"/>
    </xf>
    <xf numFmtId="0" fontId="16" fillId="3" borderId="2" xfId="0" applyFont="1" applyFill="1" applyBorder="1" applyProtection="1">
      <protection hidden="1"/>
    </xf>
    <xf numFmtId="0" fontId="16" fillId="3" borderId="20" xfId="0" applyFont="1" applyFill="1" applyBorder="1" applyAlignment="1" applyProtection="1">
      <alignment horizontal="right"/>
      <protection hidden="1"/>
    </xf>
    <xf numFmtId="0" fontId="0" fillId="2" borderId="21" xfId="0" applyFill="1" applyBorder="1" applyAlignment="1" applyProtection="1">
      <alignment horizontal="center" vertical="center" wrapText="1"/>
      <protection locked="0"/>
    </xf>
    <xf numFmtId="0" fontId="0" fillId="2" borderId="22" xfId="0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center" vertical="center" wrapText="1"/>
      <protection locked="0"/>
    </xf>
    <xf numFmtId="0" fontId="5" fillId="5" borderId="41" xfId="0" applyFont="1" applyFill="1" applyBorder="1" applyAlignment="1" applyProtection="1">
      <alignment horizontal="center" vertical="center"/>
      <protection hidden="1"/>
    </xf>
    <xf numFmtId="0" fontId="5" fillId="5" borderId="60" xfId="0" applyFont="1" applyFill="1" applyBorder="1" applyAlignment="1" applyProtection="1">
      <alignment horizontal="center" vertical="center"/>
      <protection hidden="1"/>
    </xf>
    <xf numFmtId="0" fontId="5" fillId="5" borderId="61" xfId="0" applyFont="1" applyFill="1" applyBorder="1" applyAlignment="1" applyProtection="1">
      <alignment horizontal="center" vertical="center"/>
      <protection hidden="1"/>
    </xf>
    <xf numFmtId="0" fontId="6" fillId="6" borderId="23" xfId="0" applyFont="1" applyFill="1" applyBorder="1" applyAlignment="1" applyProtection="1">
      <alignment horizontal="center" textRotation="90" wrapText="1"/>
      <protection hidden="1"/>
    </xf>
    <xf numFmtId="0" fontId="6" fillId="6" borderId="12" xfId="0" applyFont="1" applyFill="1" applyBorder="1" applyAlignment="1" applyProtection="1">
      <alignment horizontal="center" textRotation="90" wrapText="1"/>
      <protection hidden="1"/>
    </xf>
    <xf numFmtId="0" fontId="6" fillId="6" borderId="5" xfId="0" applyFont="1" applyFill="1" applyBorder="1" applyAlignment="1" applyProtection="1">
      <alignment horizontal="center" textRotation="90" wrapText="1"/>
      <protection hidden="1"/>
    </xf>
    <xf numFmtId="14" fontId="0" fillId="5" borderId="41" xfId="0" applyNumberFormat="1" applyFill="1" applyBorder="1" applyAlignment="1" applyProtection="1">
      <alignment horizontal="center" vertical="center"/>
      <protection hidden="1"/>
    </xf>
    <xf numFmtId="14" fontId="0" fillId="5" borderId="31" xfId="0" applyNumberFormat="1" applyFill="1" applyBorder="1" applyAlignment="1" applyProtection="1">
      <alignment horizontal="center" vertical="center"/>
      <protection hidden="1"/>
    </xf>
    <xf numFmtId="0" fontId="0" fillId="5" borderId="39" xfId="0" applyFill="1" applyBorder="1" applyAlignment="1" applyProtection="1">
      <alignment horizontal="center" vertical="center"/>
      <protection hidden="1"/>
    </xf>
    <xf numFmtId="0" fontId="0" fillId="5" borderId="40" xfId="0" applyFill="1" applyBorder="1" applyAlignment="1" applyProtection="1">
      <alignment horizontal="center" vertical="center"/>
      <protection hidden="1"/>
    </xf>
    <xf numFmtId="0" fontId="5" fillId="3" borderId="36" xfId="0" applyFont="1" applyFill="1" applyBorder="1" applyAlignment="1" applyProtection="1">
      <alignment horizontal="center" vertical="center"/>
      <protection hidden="1"/>
    </xf>
    <xf numFmtId="0" fontId="5" fillId="3" borderId="37" xfId="0" applyFont="1" applyFill="1" applyBorder="1" applyAlignment="1" applyProtection="1">
      <alignment horizontal="center" vertical="center"/>
      <protection hidden="1"/>
    </xf>
    <xf numFmtId="0" fontId="5" fillId="3" borderId="38" xfId="0" applyFont="1" applyFill="1" applyBorder="1" applyAlignment="1" applyProtection="1">
      <alignment horizontal="center" vertical="center"/>
      <protection hidden="1"/>
    </xf>
    <xf numFmtId="0" fontId="1" fillId="5" borderId="23" xfId="0" applyFont="1" applyFill="1" applyBorder="1" applyAlignment="1" applyProtection="1">
      <alignment horizontal="center" textRotation="90" wrapText="1"/>
      <protection hidden="1"/>
    </xf>
    <xf numFmtId="0" fontId="1" fillId="5" borderId="12" xfId="0" applyFont="1" applyFill="1" applyBorder="1" applyAlignment="1" applyProtection="1">
      <alignment horizontal="center" textRotation="90" wrapText="1"/>
      <protection hidden="1"/>
    </xf>
    <xf numFmtId="0" fontId="1" fillId="5" borderId="5" xfId="0" applyFont="1" applyFill="1" applyBorder="1" applyAlignment="1" applyProtection="1">
      <alignment horizontal="center" textRotation="90" wrapText="1"/>
      <protection hidden="1"/>
    </xf>
    <xf numFmtId="0" fontId="3" fillId="3" borderId="23" xfId="0" applyFont="1" applyFill="1" applyBorder="1" applyAlignment="1" applyProtection="1">
      <alignment horizontal="center" textRotation="90" wrapText="1"/>
      <protection hidden="1"/>
    </xf>
    <xf numFmtId="0" fontId="1" fillId="3" borderId="12" xfId="0" applyFont="1" applyFill="1" applyBorder="1" applyAlignment="1" applyProtection="1">
      <alignment horizontal="center" textRotation="90" wrapText="1"/>
      <protection hidden="1"/>
    </xf>
    <xf numFmtId="0" fontId="1" fillId="3" borderId="5" xfId="0" applyFont="1" applyFill="1" applyBorder="1" applyAlignment="1" applyProtection="1">
      <alignment horizontal="center" textRotation="90" wrapText="1"/>
      <protection hidden="1"/>
    </xf>
    <xf numFmtId="0" fontId="1" fillId="9" borderId="23" xfId="0" applyFont="1" applyFill="1" applyBorder="1" applyAlignment="1" applyProtection="1">
      <alignment horizontal="center" textRotation="90" wrapText="1"/>
      <protection hidden="1"/>
    </xf>
    <xf numFmtId="0" fontId="1" fillId="9" borderId="12" xfId="0" applyFont="1" applyFill="1" applyBorder="1" applyAlignment="1" applyProtection="1">
      <alignment horizontal="center" textRotation="90" wrapText="1"/>
      <protection hidden="1"/>
    </xf>
    <xf numFmtId="0" fontId="1" fillId="9" borderId="5" xfId="0" applyFont="1" applyFill="1" applyBorder="1" applyAlignment="1" applyProtection="1">
      <alignment horizontal="center" textRotation="90" wrapText="1"/>
      <protection hidden="1"/>
    </xf>
    <xf numFmtId="0" fontId="1" fillId="8" borderId="23" xfId="0" applyFont="1" applyFill="1" applyBorder="1" applyAlignment="1" applyProtection="1">
      <alignment horizontal="center" textRotation="90" wrapText="1"/>
      <protection hidden="1"/>
    </xf>
    <xf numFmtId="0" fontId="1" fillId="8" borderId="12" xfId="0" applyFont="1" applyFill="1" applyBorder="1" applyAlignment="1" applyProtection="1">
      <alignment horizontal="center" textRotation="90" wrapText="1"/>
      <protection hidden="1"/>
    </xf>
    <xf numFmtId="0" fontId="1" fillId="8" borderId="5" xfId="0" applyFont="1" applyFill="1" applyBorder="1" applyAlignment="1" applyProtection="1">
      <alignment horizontal="center" textRotation="90" wrapText="1"/>
      <protection hidden="1"/>
    </xf>
    <xf numFmtId="0" fontId="1" fillId="7" borderId="23" xfId="0" applyFont="1" applyFill="1" applyBorder="1" applyAlignment="1" applyProtection="1">
      <alignment horizontal="center" textRotation="90" wrapText="1"/>
      <protection hidden="1"/>
    </xf>
    <xf numFmtId="0" fontId="1" fillId="7" borderId="12" xfId="0" applyFont="1" applyFill="1" applyBorder="1" applyAlignment="1" applyProtection="1">
      <alignment horizontal="center" textRotation="90" wrapText="1"/>
      <protection hidden="1"/>
    </xf>
    <xf numFmtId="0" fontId="1" fillId="7" borderId="5" xfId="0" applyFont="1" applyFill="1" applyBorder="1" applyAlignment="1" applyProtection="1">
      <alignment horizontal="center" textRotation="90" wrapText="1"/>
      <protection hidden="1"/>
    </xf>
    <xf numFmtId="0" fontId="1" fillId="3" borderId="23" xfId="0" applyFont="1" applyFill="1" applyBorder="1" applyAlignment="1" applyProtection="1">
      <alignment horizontal="center" textRotation="90" wrapText="1"/>
      <protection hidden="1"/>
    </xf>
    <xf numFmtId="0" fontId="1" fillId="3" borderId="25" xfId="0" applyFont="1" applyFill="1" applyBorder="1" applyAlignment="1" applyProtection="1">
      <alignment horizontal="center" textRotation="90" wrapText="1"/>
      <protection hidden="1"/>
    </xf>
    <xf numFmtId="0" fontId="1" fillId="3" borderId="58" xfId="0" applyFont="1" applyFill="1" applyBorder="1" applyAlignment="1" applyProtection="1">
      <alignment horizontal="center" textRotation="90" wrapText="1"/>
      <protection hidden="1"/>
    </xf>
    <xf numFmtId="0" fontId="1" fillId="3" borderId="24" xfId="0" applyFont="1" applyFill="1" applyBorder="1" applyAlignment="1" applyProtection="1">
      <alignment horizontal="center" textRotation="90" wrapText="1"/>
      <protection hidden="1"/>
    </xf>
    <xf numFmtId="0" fontId="1" fillId="3" borderId="26" xfId="0" applyFont="1" applyFill="1" applyBorder="1" applyAlignment="1" applyProtection="1">
      <alignment horizontal="center" textRotation="90" wrapText="1"/>
      <protection hidden="1"/>
    </xf>
    <xf numFmtId="0" fontId="1" fillId="3" borderId="59" xfId="0" applyFont="1" applyFill="1" applyBorder="1" applyAlignment="1" applyProtection="1">
      <alignment horizontal="center" textRotation="90" wrapText="1"/>
      <protection hidden="1"/>
    </xf>
    <xf numFmtId="0" fontId="6" fillId="6" borderId="53" xfId="0" applyFont="1" applyFill="1" applyBorder="1" applyAlignment="1" applyProtection="1">
      <alignment horizontal="center" textRotation="90" wrapText="1"/>
      <protection hidden="1"/>
    </xf>
    <xf numFmtId="0" fontId="6" fillId="6" borderId="31" xfId="0" applyFont="1" applyFill="1" applyBorder="1" applyAlignment="1" applyProtection="1">
      <alignment horizontal="center" textRotation="90" wrapText="1"/>
      <protection hidden="1"/>
    </xf>
    <xf numFmtId="0" fontId="6" fillId="6" borderId="32" xfId="0" applyFont="1" applyFill="1" applyBorder="1" applyAlignment="1" applyProtection="1">
      <alignment horizontal="center" textRotation="90" wrapText="1"/>
      <protection hidden="1"/>
    </xf>
    <xf numFmtId="0" fontId="6" fillId="6" borderId="24" xfId="0" applyFont="1" applyFill="1" applyBorder="1" applyAlignment="1" applyProtection="1">
      <alignment horizontal="center" textRotation="90" wrapText="1"/>
      <protection hidden="1"/>
    </xf>
    <xf numFmtId="0" fontId="6" fillId="6" borderId="27" xfId="0" applyFont="1" applyFill="1" applyBorder="1" applyAlignment="1" applyProtection="1">
      <alignment horizontal="center" textRotation="90" wrapText="1"/>
      <protection hidden="1"/>
    </xf>
    <xf numFmtId="0" fontId="6" fillId="6" borderId="30" xfId="0" applyFont="1" applyFill="1" applyBorder="1" applyAlignment="1" applyProtection="1">
      <alignment horizontal="center" textRotation="90" wrapText="1"/>
      <protection hidden="1"/>
    </xf>
    <xf numFmtId="0" fontId="1" fillId="3" borderId="29" xfId="0" applyFont="1" applyFill="1" applyBorder="1" applyAlignment="1" applyProtection="1">
      <alignment horizontal="center" textRotation="90" wrapText="1"/>
      <protection hidden="1"/>
    </xf>
    <xf numFmtId="0" fontId="1" fillId="3" borderId="8" xfId="0" applyFont="1" applyFill="1" applyBorder="1" applyAlignment="1" applyProtection="1">
      <alignment horizontal="center" textRotation="90" wrapText="1"/>
      <protection hidden="1"/>
    </xf>
    <xf numFmtId="0" fontId="1" fillId="3" borderId="9" xfId="0" applyFont="1" applyFill="1" applyBorder="1" applyAlignment="1" applyProtection="1">
      <alignment horizontal="center" textRotation="90" wrapText="1"/>
      <protection hidden="1"/>
    </xf>
    <xf numFmtId="0" fontId="14" fillId="3" borderId="23" xfId="0" applyFont="1" applyFill="1" applyBorder="1" applyAlignment="1" applyProtection="1">
      <alignment horizontal="center" vertical="center" wrapText="1"/>
      <protection hidden="1"/>
    </xf>
    <xf numFmtId="0" fontId="14" fillId="3" borderId="58" xfId="0" applyFont="1" applyFill="1" applyBorder="1" applyAlignment="1" applyProtection="1">
      <alignment horizontal="center" vertical="center" wrapText="1"/>
      <protection hidden="1"/>
    </xf>
    <xf numFmtId="0" fontId="1" fillId="5" borderId="64" xfId="0" applyFont="1" applyFill="1" applyBorder="1" applyAlignment="1" applyProtection="1">
      <alignment horizontal="center" textRotation="90" wrapText="1"/>
      <protection hidden="1"/>
    </xf>
    <xf numFmtId="0" fontId="1" fillId="5" borderId="71" xfId="0" applyFont="1" applyFill="1" applyBorder="1" applyAlignment="1" applyProtection="1">
      <alignment horizontal="center" textRotation="90" wrapText="1"/>
      <protection hidden="1"/>
    </xf>
    <xf numFmtId="0" fontId="1" fillId="5" borderId="70" xfId="0" applyFont="1" applyFill="1" applyBorder="1" applyAlignment="1" applyProtection="1">
      <alignment horizontal="center" textRotation="90" wrapText="1"/>
      <protection hidden="1"/>
    </xf>
    <xf numFmtId="0" fontId="1" fillId="3" borderId="0" xfId="0" applyFont="1" applyFill="1" applyAlignment="1" applyProtection="1">
      <alignment horizontal="center" textRotation="90" wrapText="1"/>
      <protection hidden="1"/>
    </xf>
    <xf numFmtId="14" fontId="0" fillId="5" borderId="41" xfId="0" applyNumberFormat="1" applyFill="1" applyBorder="1" applyAlignment="1">
      <alignment horizontal="center" vertical="center"/>
    </xf>
    <xf numFmtId="14" fontId="0" fillId="5" borderId="31" xfId="0" applyNumberFormat="1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22" fillId="3" borderId="2" xfId="0" applyFont="1" applyFill="1" applyBorder="1" applyAlignment="1">
      <alignment horizontal="right" vertical="center"/>
    </xf>
    <xf numFmtId="0" fontId="22" fillId="3" borderId="20" xfId="0" applyFont="1" applyFill="1" applyBorder="1" applyAlignment="1">
      <alignment horizontal="right" vertical="center"/>
    </xf>
    <xf numFmtId="0" fontId="22" fillId="3" borderId="0" xfId="0" applyFont="1" applyFill="1" applyAlignment="1">
      <alignment horizontal="right"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22" xfId="0" applyFont="1" applyFill="1" applyBorder="1" applyAlignment="1">
      <alignment horizontal="right" vertical="center"/>
    </xf>
    <xf numFmtId="0" fontId="22" fillId="3" borderId="14" xfId="0" applyFont="1" applyFill="1" applyBorder="1" applyAlignment="1">
      <alignment horizontal="right" vertical="center"/>
    </xf>
    <xf numFmtId="0" fontId="21" fillId="10" borderId="67" xfId="0" applyFont="1" applyFill="1" applyBorder="1" applyAlignment="1">
      <alignment horizontal="left"/>
    </xf>
    <xf numFmtId="0" fontId="21" fillId="10" borderId="62" xfId="0" applyFont="1" applyFill="1" applyBorder="1" applyAlignment="1">
      <alignment horizontal="left"/>
    </xf>
    <xf numFmtId="0" fontId="21" fillId="10" borderId="68" xfId="0" applyFont="1" applyFill="1" applyBorder="1" applyAlignment="1">
      <alignment horizontal="left"/>
    </xf>
    <xf numFmtId="0" fontId="21" fillId="10" borderId="69" xfId="0" applyFont="1" applyFill="1" applyBorder="1" applyAlignment="1">
      <alignment horizontal="left"/>
    </xf>
    <xf numFmtId="0" fontId="21" fillId="10" borderId="21" xfId="0" applyFont="1" applyFill="1" applyBorder="1" applyAlignment="1">
      <alignment horizontal="left"/>
    </xf>
    <xf numFmtId="0" fontId="21" fillId="10" borderId="22" xfId="0" applyFon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97B953"/>
      <color rgb="FFFF6161"/>
      <color rgb="FFFF1515"/>
      <color rgb="FFFF6565"/>
      <color rgb="FFFF8585"/>
      <color rgb="FFFF9797"/>
      <color rgb="FF6DD9FF"/>
      <color rgb="FFA3E7FF"/>
      <color rgb="FFB2DE82"/>
      <color rgb="FFFFDA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6" name="Textfeld 15">
          <a:extLst>
            <a:ext uri="{FF2B5EF4-FFF2-40B4-BE49-F238E27FC236}">
              <a16:creationId xmlns:a16="http://schemas.microsoft.com/office/drawing/2014/main" id="{51FE664F-4730-4863-8CD8-5B9DFCE0563F}"/>
            </a:ext>
          </a:extLst>
        </xdr:cNvPr>
        <xdr:cNvSpPr txBox="1"/>
      </xdr:nvSpPr>
      <xdr:spPr>
        <a:xfrm>
          <a:off x="112502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483CDC30-0ACD-4F08-896E-F4B3068CF51E}"/>
            </a:ext>
          </a:extLst>
        </xdr:cNvPr>
        <xdr:cNvCxnSpPr/>
      </xdr:nvCxnSpPr>
      <xdr:spPr>
        <a:xfrm>
          <a:off x="3840389" y="1892314"/>
          <a:ext cx="1532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78EB4048-BA8C-4301-839C-4782B3415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600" y="30447"/>
          <a:ext cx="5139917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A6EAA688-137E-4BF7-AC3E-AE56727B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837668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286398</xdr:rowOff>
    </xdr:from>
    <xdr:ext cx="248851" cy="771493"/>
    <xdr:sp macro="" textlink="$D$10">
      <xdr:nvSpPr>
        <xdr:cNvPr id="36" name="Textfeld 35">
          <a:extLst>
            <a:ext uri="{FF2B5EF4-FFF2-40B4-BE49-F238E27FC236}">
              <a16:creationId xmlns:a16="http://schemas.microsoft.com/office/drawing/2014/main" id="{899FC799-F667-48EF-BCA1-25479030B7C9}"/>
            </a:ext>
          </a:extLst>
        </xdr:cNvPr>
        <xdr:cNvSpPr txBox="1"/>
      </xdr:nvSpPr>
      <xdr:spPr>
        <a:xfrm rot="16200000">
          <a:off x="8595564" y="130971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3102 mm</a:t>
          </a:fld>
          <a:endParaRPr lang="de-DE" sz="1100"/>
        </a:p>
      </xdr:txBody>
    </xdr:sp>
    <xdr:clientData/>
  </xdr:oneCellAnchor>
  <xdr:oneCellAnchor>
    <xdr:from>
      <xdr:col>12</xdr:col>
      <xdr:colOff>613414</xdr:colOff>
      <xdr:row>2</xdr:row>
      <xdr:rowOff>200025</xdr:rowOff>
    </xdr:from>
    <xdr:ext cx="248851" cy="856594"/>
    <xdr:sp macro="" textlink="$P$10">
      <xdr:nvSpPr>
        <xdr:cNvPr id="37" name="Textfeld 36">
          <a:extLst>
            <a:ext uri="{FF2B5EF4-FFF2-40B4-BE49-F238E27FC236}">
              <a16:creationId xmlns:a16="http://schemas.microsoft.com/office/drawing/2014/main" id="{A0FEE817-2D44-4C7C-833B-057088F8756A}"/>
            </a:ext>
          </a:extLst>
        </xdr:cNvPr>
        <xdr:cNvSpPr txBox="1"/>
      </xdr:nvSpPr>
      <xdr:spPr>
        <a:xfrm rot="16200000">
          <a:off x="8796318" y="1265896"/>
          <a:ext cx="8565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3259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38" name="Textfeld 37">
          <a:extLst>
            <a:ext uri="{FF2B5EF4-FFF2-40B4-BE49-F238E27FC236}">
              <a16:creationId xmlns:a16="http://schemas.microsoft.com/office/drawing/2014/main" id="{ACE43DC9-43E0-472A-AC3D-B79EBB6C416E}"/>
            </a:ext>
          </a:extLst>
        </xdr:cNvPr>
        <xdr:cNvSpPr txBox="1"/>
      </xdr:nvSpPr>
      <xdr:spPr>
        <a:xfrm rot="16200000">
          <a:off x="54854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2400 mm</a:t>
          </a:fld>
          <a:endParaRPr lang="de-DE" sz="1100"/>
        </a:p>
      </xdr:txBody>
    </xdr:sp>
    <xdr:clientData/>
  </xdr:oneCellAnchor>
  <xdr:oneCellAnchor>
    <xdr:from>
      <xdr:col>10</xdr:col>
      <xdr:colOff>31956</xdr:colOff>
      <xdr:row>0</xdr:row>
      <xdr:rowOff>0</xdr:rowOff>
    </xdr:from>
    <xdr:ext cx="771493" cy="248851"/>
    <xdr:sp macro="" textlink="$L$10">
      <xdr:nvSpPr>
        <xdr:cNvPr id="39" name="Textfeld 38">
          <a:extLst>
            <a:ext uri="{FF2B5EF4-FFF2-40B4-BE49-F238E27FC236}">
              <a16:creationId xmlns:a16="http://schemas.microsoft.com/office/drawing/2014/main" id="{64155413-9049-48FE-A1F9-B1AE06F229FF}"/>
            </a:ext>
          </a:extLst>
        </xdr:cNvPr>
        <xdr:cNvSpPr txBox="1"/>
      </xdr:nvSpPr>
      <xdr:spPr>
        <a:xfrm>
          <a:off x="7356681" y="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5013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40" name="Textfeld 39">
          <a:extLst>
            <a:ext uri="{FF2B5EF4-FFF2-40B4-BE49-F238E27FC236}">
              <a16:creationId xmlns:a16="http://schemas.microsoft.com/office/drawing/2014/main" id="{705DA674-EDFB-490E-8A81-F25B565FFC95}"/>
            </a:ext>
          </a:extLst>
        </xdr:cNvPr>
        <xdr:cNvSpPr txBox="1"/>
      </xdr:nvSpPr>
      <xdr:spPr>
        <a:xfrm rot="20995738">
          <a:off x="74952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4900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483017" cy="248851"/>
    <xdr:sp macro="" textlink="$F$10">
      <xdr:nvSpPr>
        <xdr:cNvPr id="41" name="Textfeld 40">
          <a:extLst>
            <a:ext uri="{FF2B5EF4-FFF2-40B4-BE49-F238E27FC236}">
              <a16:creationId xmlns:a16="http://schemas.microsoft.com/office/drawing/2014/main" id="{A62BAB7E-389E-496B-8B1E-45C9F0B1E76E}"/>
            </a:ext>
          </a:extLst>
        </xdr:cNvPr>
        <xdr:cNvSpPr txBox="1"/>
      </xdr:nvSpPr>
      <xdr:spPr>
        <a:xfrm>
          <a:off x="7119713" y="1065245"/>
          <a:ext cx="4830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8,0°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771493" cy="248851"/>
    <xdr:sp macro="" textlink="$O$10">
      <xdr:nvSpPr>
        <xdr:cNvPr id="42" name="Textfeld 41">
          <a:extLst>
            <a:ext uri="{FF2B5EF4-FFF2-40B4-BE49-F238E27FC236}">
              <a16:creationId xmlns:a16="http://schemas.microsoft.com/office/drawing/2014/main" id="{7A67F9C8-F434-4C73-91EC-61CEB686B906}"/>
            </a:ext>
          </a:extLst>
        </xdr:cNvPr>
        <xdr:cNvSpPr txBox="1"/>
      </xdr:nvSpPr>
      <xdr:spPr>
        <a:xfrm>
          <a:off x="7216277" y="260265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4888 mm</a:t>
          </a:fld>
          <a:endParaRPr lang="de-DE" sz="1100"/>
        </a:p>
      </xdr:txBody>
    </xdr:sp>
    <xdr:clientData/>
  </xdr:oneCellAnchor>
  <xdr:oneCellAnchor>
    <xdr:from>
      <xdr:col>10</xdr:col>
      <xdr:colOff>283391</xdr:colOff>
      <xdr:row>7</xdr:row>
      <xdr:rowOff>206301</xdr:rowOff>
    </xdr:from>
    <xdr:ext cx="771493" cy="248851"/>
    <xdr:sp macro="" textlink="$I$10">
      <xdr:nvSpPr>
        <xdr:cNvPr id="43" name="Textfeld 42">
          <a:extLst>
            <a:ext uri="{FF2B5EF4-FFF2-40B4-BE49-F238E27FC236}">
              <a16:creationId xmlns:a16="http://schemas.microsoft.com/office/drawing/2014/main" id="{C79429E7-9C6B-4E47-92B2-FA68C7E8F526}"/>
            </a:ext>
          </a:extLst>
        </xdr:cNvPr>
        <xdr:cNvSpPr txBox="1"/>
      </xdr:nvSpPr>
      <xdr:spPr>
        <a:xfrm>
          <a:off x="7608116" y="28733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4943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771493" cy="248851"/>
    <xdr:sp macro="" textlink="$R$10">
      <xdr:nvSpPr>
        <xdr:cNvPr id="44" name="Textfeld 43">
          <a:extLst>
            <a:ext uri="{FF2B5EF4-FFF2-40B4-BE49-F238E27FC236}">
              <a16:creationId xmlns:a16="http://schemas.microsoft.com/office/drawing/2014/main" id="{D4C70B6D-C44B-4AC2-8299-68E3F8E4F212}"/>
            </a:ext>
          </a:extLst>
        </xdr:cNvPr>
        <xdr:cNvSpPr txBox="1"/>
      </xdr:nvSpPr>
      <xdr:spPr>
        <a:xfrm>
          <a:off x="7655413" y="34067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5115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771493" cy="248851"/>
    <xdr:sp macro="" textlink="$Q$10">
      <xdr:nvSpPr>
        <xdr:cNvPr id="45" name="Textfeld 44">
          <a:extLst>
            <a:ext uri="{FF2B5EF4-FFF2-40B4-BE49-F238E27FC236}">
              <a16:creationId xmlns:a16="http://schemas.microsoft.com/office/drawing/2014/main" id="{867AA843-9359-4F64-8088-07E55002E43E}"/>
            </a:ext>
          </a:extLst>
        </xdr:cNvPr>
        <xdr:cNvSpPr txBox="1"/>
      </xdr:nvSpPr>
      <xdr:spPr>
        <a:xfrm>
          <a:off x="7239927" y="315182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4998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46" name="Textfeld 45">
          <a:extLst>
            <a:ext uri="{FF2B5EF4-FFF2-40B4-BE49-F238E27FC236}">
              <a16:creationId xmlns:a16="http://schemas.microsoft.com/office/drawing/2014/main" id="{ACA1FB60-3337-4080-97D8-44CB0774EAC9}"/>
            </a:ext>
          </a:extLst>
        </xdr:cNvPr>
        <xdr:cNvSpPr txBox="1"/>
      </xdr:nvSpPr>
      <xdr:spPr>
        <a:xfrm>
          <a:off x="106787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209550</xdr:colOff>
      <xdr:row>2</xdr:row>
      <xdr:rowOff>311127</xdr:rowOff>
    </xdr:from>
    <xdr:ext cx="955454" cy="248851"/>
    <xdr:sp macro="" textlink="$G$10">
      <xdr:nvSpPr>
        <xdr:cNvPr id="47" name="Textfeld 46">
          <a:extLst>
            <a:ext uri="{FF2B5EF4-FFF2-40B4-BE49-F238E27FC236}">
              <a16:creationId xmlns:a16="http://schemas.microsoft.com/office/drawing/2014/main" id="{9BCF438D-7D73-4B04-85F2-DB3776DC500F}"/>
            </a:ext>
          </a:extLst>
        </xdr:cNvPr>
        <xdr:cNvSpPr txBox="1"/>
      </xdr:nvSpPr>
      <xdr:spPr>
        <a:xfrm>
          <a:off x="7534275" y="1073127"/>
          <a:ext cx="9554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140,5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D2865DE3-D42C-44DB-B896-B8FDA5D71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6" name="Textfeld 15">
          <a:extLst>
            <a:ext uri="{FF2B5EF4-FFF2-40B4-BE49-F238E27FC236}">
              <a16:creationId xmlns:a16="http://schemas.microsoft.com/office/drawing/2014/main" id="{9BEB2580-D582-4E16-A088-5ED7F3F7D896}"/>
            </a:ext>
          </a:extLst>
        </xdr:cNvPr>
        <xdr:cNvSpPr txBox="1"/>
      </xdr:nvSpPr>
      <xdr:spPr>
        <a:xfrm>
          <a:off x="112502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F12F6994-30F4-41C7-97F5-DFFA8AB1BF85}"/>
            </a:ext>
          </a:extLst>
        </xdr:cNvPr>
        <xdr:cNvCxnSpPr/>
      </xdr:nvCxnSpPr>
      <xdr:spPr>
        <a:xfrm>
          <a:off x="3840389" y="1892314"/>
          <a:ext cx="1532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4FBCB4C1-3575-4B98-A3C5-4582A9AA9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600" y="30447"/>
          <a:ext cx="5139917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E011BA17-0663-44DA-81BA-2C9CF889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837668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286398</xdr:rowOff>
    </xdr:from>
    <xdr:ext cx="248851" cy="771493"/>
    <xdr:sp macro="" textlink="$D$10">
      <xdr:nvSpPr>
        <xdr:cNvPr id="36" name="Textfeld 35">
          <a:extLst>
            <a:ext uri="{FF2B5EF4-FFF2-40B4-BE49-F238E27FC236}">
              <a16:creationId xmlns:a16="http://schemas.microsoft.com/office/drawing/2014/main" id="{3B7FAEE7-D14E-4B5A-AAAD-73D59B19ADC9}"/>
            </a:ext>
          </a:extLst>
        </xdr:cNvPr>
        <xdr:cNvSpPr txBox="1"/>
      </xdr:nvSpPr>
      <xdr:spPr>
        <a:xfrm rot="16200000">
          <a:off x="8595564" y="130971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2972 mm</a:t>
          </a:fld>
          <a:endParaRPr lang="de-DE" sz="1100"/>
        </a:p>
      </xdr:txBody>
    </xdr:sp>
    <xdr:clientData/>
  </xdr:oneCellAnchor>
  <xdr:oneCellAnchor>
    <xdr:from>
      <xdr:col>13</xdr:col>
      <xdr:colOff>2987</xdr:colOff>
      <xdr:row>2</xdr:row>
      <xdr:rowOff>112059</xdr:rowOff>
    </xdr:from>
    <xdr:ext cx="248851" cy="930087"/>
    <xdr:sp macro="" textlink="$P$10">
      <xdr:nvSpPr>
        <xdr:cNvPr id="37" name="Textfeld 36">
          <a:extLst>
            <a:ext uri="{FF2B5EF4-FFF2-40B4-BE49-F238E27FC236}">
              <a16:creationId xmlns:a16="http://schemas.microsoft.com/office/drawing/2014/main" id="{82C23A8E-0248-4EDA-B2BE-C94E92762090}"/>
            </a:ext>
          </a:extLst>
        </xdr:cNvPr>
        <xdr:cNvSpPr txBox="1"/>
      </xdr:nvSpPr>
      <xdr:spPr>
        <a:xfrm rot="16200000">
          <a:off x="8783957" y="1214677"/>
          <a:ext cx="93008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3129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38" name="Textfeld 37">
          <a:extLst>
            <a:ext uri="{FF2B5EF4-FFF2-40B4-BE49-F238E27FC236}">
              <a16:creationId xmlns:a16="http://schemas.microsoft.com/office/drawing/2014/main" id="{5C3A93D0-F357-47E9-9EBE-B7D2CF1A14E8}"/>
            </a:ext>
          </a:extLst>
        </xdr:cNvPr>
        <xdr:cNvSpPr txBox="1"/>
      </xdr:nvSpPr>
      <xdr:spPr>
        <a:xfrm rot="16200000">
          <a:off x="54854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2250 mm</a:t>
          </a:fld>
          <a:endParaRPr lang="de-DE" sz="1100"/>
        </a:p>
      </xdr:txBody>
    </xdr:sp>
    <xdr:clientData/>
  </xdr:oneCellAnchor>
  <xdr:oneCellAnchor>
    <xdr:from>
      <xdr:col>10</xdr:col>
      <xdr:colOff>31956</xdr:colOff>
      <xdr:row>0</xdr:row>
      <xdr:rowOff>0</xdr:rowOff>
    </xdr:from>
    <xdr:ext cx="771493" cy="248851"/>
    <xdr:sp macro="" textlink="$L$10">
      <xdr:nvSpPr>
        <xdr:cNvPr id="39" name="Textfeld 38">
          <a:extLst>
            <a:ext uri="{FF2B5EF4-FFF2-40B4-BE49-F238E27FC236}">
              <a16:creationId xmlns:a16="http://schemas.microsoft.com/office/drawing/2014/main" id="{9F9E9F83-FBDB-4495-A950-37F2F2D75E8C}"/>
            </a:ext>
          </a:extLst>
        </xdr:cNvPr>
        <xdr:cNvSpPr txBox="1"/>
      </xdr:nvSpPr>
      <xdr:spPr>
        <a:xfrm>
          <a:off x="7356681" y="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5046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40" name="Textfeld 39">
          <a:extLst>
            <a:ext uri="{FF2B5EF4-FFF2-40B4-BE49-F238E27FC236}">
              <a16:creationId xmlns:a16="http://schemas.microsoft.com/office/drawing/2014/main" id="{63512D1E-D359-4729-B0B1-C01C1C39FDE2}"/>
            </a:ext>
          </a:extLst>
        </xdr:cNvPr>
        <xdr:cNvSpPr txBox="1"/>
      </xdr:nvSpPr>
      <xdr:spPr>
        <a:xfrm rot="20995738">
          <a:off x="74952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4900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483017" cy="248851"/>
    <xdr:sp macro="" textlink="$F$10">
      <xdr:nvSpPr>
        <xdr:cNvPr id="41" name="Textfeld 40">
          <a:extLst>
            <a:ext uri="{FF2B5EF4-FFF2-40B4-BE49-F238E27FC236}">
              <a16:creationId xmlns:a16="http://schemas.microsoft.com/office/drawing/2014/main" id="{6B468D65-5A03-45B4-8E96-4DC866CC0501}"/>
            </a:ext>
          </a:extLst>
        </xdr:cNvPr>
        <xdr:cNvSpPr txBox="1"/>
      </xdr:nvSpPr>
      <xdr:spPr>
        <a:xfrm>
          <a:off x="7133160" y="1065245"/>
          <a:ext cx="4830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8,0°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771493" cy="248851"/>
    <xdr:sp macro="" textlink="$O$10">
      <xdr:nvSpPr>
        <xdr:cNvPr id="42" name="Textfeld 41">
          <a:extLst>
            <a:ext uri="{FF2B5EF4-FFF2-40B4-BE49-F238E27FC236}">
              <a16:creationId xmlns:a16="http://schemas.microsoft.com/office/drawing/2014/main" id="{A5428DA3-BAFA-4814-BDED-197A8DD2EC13}"/>
            </a:ext>
          </a:extLst>
        </xdr:cNvPr>
        <xdr:cNvSpPr txBox="1"/>
      </xdr:nvSpPr>
      <xdr:spPr>
        <a:xfrm>
          <a:off x="7216277" y="260265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4901 mm</a:t>
          </a:fld>
          <a:endParaRPr lang="de-DE" sz="1100"/>
        </a:p>
      </xdr:txBody>
    </xdr:sp>
    <xdr:clientData/>
  </xdr:oneCellAnchor>
  <xdr:oneCellAnchor>
    <xdr:from>
      <xdr:col>10</xdr:col>
      <xdr:colOff>283391</xdr:colOff>
      <xdr:row>7</xdr:row>
      <xdr:rowOff>206301</xdr:rowOff>
    </xdr:from>
    <xdr:ext cx="771493" cy="248851"/>
    <xdr:sp macro="" textlink="$I$10">
      <xdr:nvSpPr>
        <xdr:cNvPr id="43" name="Textfeld 42">
          <a:extLst>
            <a:ext uri="{FF2B5EF4-FFF2-40B4-BE49-F238E27FC236}">
              <a16:creationId xmlns:a16="http://schemas.microsoft.com/office/drawing/2014/main" id="{F9A8E319-4D15-4311-B015-D6E2C910FD25}"/>
            </a:ext>
          </a:extLst>
        </xdr:cNvPr>
        <xdr:cNvSpPr txBox="1"/>
      </xdr:nvSpPr>
      <xdr:spPr>
        <a:xfrm>
          <a:off x="7608116" y="28733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4956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771493" cy="248851"/>
    <xdr:sp macro="" textlink="$R$10">
      <xdr:nvSpPr>
        <xdr:cNvPr id="44" name="Textfeld 43">
          <a:extLst>
            <a:ext uri="{FF2B5EF4-FFF2-40B4-BE49-F238E27FC236}">
              <a16:creationId xmlns:a16="http://schemas.microsoft.com/office/drawing/2014/main" id="{534273FD-B3C7-4C9D-9308-BE2C35C4FDC2}"/>
            </a:ext>
          </a:extLst>
        </xdr:cNvPr>
        <xdr:cNvSpPr txBox="1"/>
      </xdr:nvSpPr>
      <xdr:spPr>
        <a:xfrm>
          <a:off x="7655413" y="34067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5128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771493" cy="248851"/>
    <xdr:sp macro="" textlink="$Q$10">
      <xdr:nvSpPr>
        <xdr:cNvPr id="45" name="Textfeld 44">
          <a:extLst>
            <a:ext uri="{FF2B5EF4-FFF2-40B4-BE49-F238E27FC236}">
              <a16:creationId xmlns:a16="http://schemas.microsoft.com/office/drawing/2014/main" id="{47B61798-95E1-416F-B621-4594DB7ADD63}"/>
            </a:ext>
          </a:extLst>
        </xdr:cNvPr>
        <xdr:cNvSpPr txBox="1"/>
      </xdr:nvSpPr>
      <xdr:spPr>
        <a:xfrm>
          <a:off x="7239927" y="315182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5011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46" name="Textfeld 45">
          <a:extLst>
            <a:ext uri="{FF2B5EF4-FFF2-40B4-BE49-F238E27FC236}">
              <a16:creationId xmlns:a16="http://schemas.microsoft.com/office/drawing/2014/main" id="{331B8F60-664C-44BE-BEB8-92C68A485BA8}"/>
            </a:ext>
          </a:extLst>
        </xdr:cNvPr>
        <xdr:cNvSpPr txBox="1"/>
      </xdr:nvSpPr>
      <xdr:spPr>
        <a:xfrm>
          <a:off x="106787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209550</xdr:colOff>
      <xdr:row>2</xdr:row>
      <xdr:rowOff>311127</xdr:rowOff>
    </xdr:from>
    <xdr:ext cx="955454" cy="248851"/>
    <xdr:sp macro="" textlink="$G$10">
      <xdr:nvSpPr>
        <xdr:cNvPr id="47" name="Textfeld 46">
          <a:extLst>
            <a:ext uri="{FF2B5EF4-FFF2-40B4-BE49-F238E27FC236}">
              <a16:creationId xmlns:a16="http://schemas.microsoft.com/office/drawing/2014/main" id="{95CFD16F-854A-415D-934C-8A3D108D4CA6}"/>
            </a:ext>
          </a:extLst>
        </xdr:cNvPr>
        <xdr:cNvSpPr txBox="1"/>
      </xdr:nvSpPr>
      <xdr:spPr>
        <a:xfrm>
          <a:off x="7534275" y="1073127"/>
          <a:ext cx="9554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140,5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78480DD0-924C-4CD5-B9F7-2BCE471E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6" name="Textfeld 15">
          <a:extLst>
            <a:ext uri="{FF2B5EF4-FFF2-40B4-BE49-F238E27FC236}">
              <a16:creationId xmlns:a16="http://schemas.microsoft.com/office/drawing/2014/main" id="{D260157D-B903-4DDE-A206-4DE88843ECA5}"/>
            </a:ext>
          </a:extLst>
        </xdr:cNvPr>
        <xdr:cNvSpPr txBox="1"/>
      </xdr:nvSpPr>
      <xdr:spPr>
        <a:xfrm>
          <a:off x="112502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A7AE40C1-2454-4C95-8045-F923B61036E8}"/>
            </a:ext>
          </a:extLst>
        </xdr:cNvPr>
        <xdr:cNvCxnSpPr/>
      </xdr:nvCxnSpPr>
      <xdr:spPr>
        <a:xfrm>
          <a:off x="3840389" y="1892314"/>
          <a:ext cx="1532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3DC707CB-7A50-48B8-855A-4684036B9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04" y="30447"/>
          <a:ext cx="5144400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36" name="Grafik 35">
          <a:extLst>
            <a:ext uri="{FF2B5EF4-FFF2-40B4-BE49-F238E27FC236}">
              <a16:creationId xmlns:a16="http://schemas.microsoft.com/office/drawing/2014/main" id="{7FE3AAB3-68F5-4F56-B643-54C1FA483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837668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286398</xdr:rowOff>
    </xdr:from>
    <xdr:ext cx="248851" cy="771493"/>
    <xdr:sp macro="" textlink="$D$10">
      <xdr:nvSpPr>
        <xdr:cNvPr id="37" name="Textfeld 36">
          <a:extLst>
            <a:ext uri="{FF2B5EF4-FFF2-40B4-BE49-F238E27FC236}">
              <a16:creationId xmlns:a16="http://schemas.microsoft.com/office/drawing/2014/main" id="{C134B3F1-5F99-4C7B-890E-5D1AE78A03AF}"/>
            </a:ext>
          </a:extLst>
        </xdr:cNvPr>
        <xdr:cNvSpPr txBox="1"/>
      </xdr:nvSpPr>
      <xdr:spPr>
        <a:xfrm rot="16200000">
          <a:off x="8595564" y="130971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2700 mm</a:t>
          </a:fld>
          <a:endParaRPr lang="de-DE" sz="1100"/>
        </a:p>
      </xdr:txBody>
    </xdr:sp>
    <xdr:clientData/>
  </xdr:oneCellAnchor>
  <xdr:oneCellAnchor>
    <xdr:from>
      <xdr:col>12</xdr:col>
      <xdr:colOff>613410</xdr:colOff>
      <xdr:row>2</xdr:row>
      <xdr:rowOff>291010</xdr:rowOff>
    </xdr:from>
    <xdr:ext cx="248851" cy="771493"/>
    <xdr:sp macro="" textlink="$P$10">
      <xdr:nvSpPr>
        <xdr:cNvPr id="38" name="Textfeld 37">
          <a:extLst>
            <a:ext uri="{FF2B5EF4-FFF2-40B4-BE49-F238E27FC236}">
              <a16:creationId xmlns:a16="http://schemas.microsoft.com/office/drawing/2014/main" id="{C9397573-6249-4299-A19D-2BEFF933BB98}"/>
            </a:ext>
          </a:extLst>
        </xdr:cNvPr>
        <xdr:cNvSpPr txBox="1"/>
      </xdr:nvSpPr>
      <xdr:spPr>
        <a:xfrm rot="16200000">
          <a:off x="8838864" y="131433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2862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39" name="Textfeld 38">
          <a:extLst>
            <a:ext uri="{FF2B5EF4-FFF2-40B4-BE49-F238E27FC236}">
              <a16:creationId xmlns:a16="http://schemas.microsoft.com/office/drawing/2014/main" id="{9EB901E4-F8C0-40CD-B304-B530CDCB7D67}"/>
            </a:ext>
          </a:extLst>
        </xdr:cNvPr>
        <xdr:cNvSpPr txBox="1"/>
      </xdr:nvSpPr>
      <xdr:spPr>
        <a:xfrm rot="16200000">
          <a:off x="54854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2250 mm</a:t>
          </a:fld>
          <a:endParaRPr lang="de-DE" sz="1100"/>
        </a:p>
      </xdr:txBody>
    </xdr:sp>
    <xdr:clientData/>
  </xdr:oneCellAnchor>
  <xdr:oneCellAnchor>
    <xdr:from>
      <xdr:col>10</xdr:col>
      <xdr:colOff>31956</xdr:colOff>
      <xdr:row>0</xdr:row>
      <xdr:rowOff>0</xdr:rowOff>
    </xdr:from>
    <xdr:ext cx="829971" cy="264560"/>
    <xdr:sp macro="" textlink="$W$3">
      <xdr:nvSpPr>
        <xdr:cNvPr id="40" name="Textfeld 39">
          <a:extLst>
            <a:ext uri="{FF2B5EF4-FFF2-40B4-BE49-F238E27FC236}">
              <a16:creationId xmlns:a16="http://schemas.microsoft.com/office/drawing/2014/main" id="{A7E0EED4-2824-4142-A115-0753E3E277CE}"/>
            </a:ext>
          </a:extLst>
        </xdr:cNvPr>
        <xdr:cNvSpPr txBox="1"/>
      </xdr:nvSpPr>
      <xdr:spPr>
        <a:xfrm>
          <a:off x="7371809" y="0"/>
          <a:ext cx="8299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8137895-59A1-44F1-9451-2225FA59AD8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4173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41" name="Textfeld 40">
          <a:extLst>
            <a:ext uri="{FF2B5EF4-FFF2-40B4-BE49-F238E27FC236}">
              <a16:creationId xmlns:a16="http://schemas.microsoft.com/office/drawing/2014/main" id="{BD9E52A2-25AF-4610-903F-CFE36D39B800}"/>
            </a:ext>
          </a:extLst>
        </xdr:cNvPr>
        <xdr:cNvSpPr txBox="1"/>
      </xdr:nvSpPr>
      <xdr:spPr>
        <a:xfrm rot="20995738">
          <a:off x="74952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3950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483017" cy="248851"/>
    <xdr:sp macro="" textlink="$F$10">
      <xdr:nvSpPr>
        <xdr:cNvPr id="42" name="Textfeld 41">
          <a:extLst>
            <a:ext uri="{FF2B5EF4-FFF2-40B4-BE49-F238E27FC236}">
              <a16:creationId xmlns:a16="http://schemas.microsoft.com/office/drawing/2014/main" id="{B29E5FB0-49DC-42D9-947C-F0913C7D27BB}"/>
            </a:ext>
          </a:extLst>
        </xdr:cNvPr>
        <xdr:cNvSpPr txBox="1"/>
      </xdr:nvSpPr>
      <xdr:spPr>
        <a:xfrm>
          <a:off x="7133160" y="1065245"/>
          <a:ext cx="4830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5,8°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771493" cy="248851"/>
    <xdr:sp macro="" textlink="$O$10">
      <xdr:nvSpPr>
        <xdr:cNvPr id="43" name="Textfeld 42">
          <a:extLst>
            <a:ext uri="{FF2B5EF4-FFF2-40B4-BE49-F238E27FC236}">
              <a16:creationId xmlns:a16="http://schemas.microsoft.com/office/drawing/2014/main" id="{5C20D4B0-660A-4B44-A789-D349E272931A}"/>
            </a:ext>
          </a:extLst>
        </xdr:cNvPr>
        <xdr:cNvSpPr txBox="1"/>
      </xdr:nvSpPr>
      <xdr:spPr>
        <a:xfrm>
          <a:off x="7216277" y="260265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4006 mm</a:t>
          </a:fld>
          <a:endParaRPr lang="de-DE" sz="1100"/>
        </a:p>
      </xdr:txBody>
    </xdr:sp>
    <xdr:clientData/>
  </xdr:oneCellAnchor>
  <xdr:oneCellAnchor>
    <xdr:from>
      <xdr:col>10</xdr:col>
      <xdr:colOff>283391</xdr:colOff>
      <xdr:row>7</xdr:row>
      <xdr:rowOff>206301</xdr:rowOff>
    </xdr:from>
    <xdr:ext cx="771493" cy="248851"/>
    <xdr:sp macro="" textlink="$I$10">
      <xdr:nvSpPr>
        <xdr:cNvPr id="44" name="Textfeld 43">
          <a:extLst>
            <a:ext uri="{FF2B5EF4-FFF2-40B4-BE49-F238E27FC236}">
              <a16:creationId xmlns:a16="http://schemas.microsoft.com/office/drawing/2014/main" id="{7B361B8D-C3D0-4D2A-A446-086355EBA1A6}"/>
            </a:ext>
          </a:extLst>
        </xdr:cNvPr>
        <xdr:cNvSpPr txBox="1"/>
      </xdr:nvSpPr>
      <xdr:spPr>
        <a:xfrm>
          <a:off x="7608116" y="28733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4061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771493" cy="248851"/>
    <xdr:sp macro="" textlink="$R$10">
      <xdr:nvSpPr>
        <xdr:cNvPr id="45" name="Textfeld 44">
          <a:extLst>
            <a:ext uri="{FF2B5EF4-FFF2-40B4-BE49-F238E27FC236}">
              <a16:creationId xmlns:a16="http://schemas.microsoft.com/office/drawing/2014/main" id="{06283D1A-D0B9-4075-8407-A1BF15CCDE96}"/>
            </a:ext>
          </a:extLst>
        </xdr:cNvPr>
        <xdr:cNvSpPr txBox="1"/>
      </xdr:nvSpPr>
      <xdr:spPr>
        <a:xfrm>
          <a:off x="7655413" y="34067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4233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771493" cy="248851"/>
    <xdr:sp macro="" textlink="$Q$10">
      <xdr:nvSpPr>
        <xdr:cNvPr id="46" name="Textfeld 45">
          <a:extLst>
            <a:ext uri="{FF2B5EF4-FFF2-40B4-BE49-F238E27FC236}">
              <a16:creationId xmlns:a16="http://schemas.microsoft.com/office/drawing/2014/main" id="{EE8AC0C0-9D87-4B6B-9C99-2057E772DFAF}"/>
            </a:ext>
          </a:extLst>
        </xdr:cNvPr>
        <xdr:cNvSpPr txBox="1"/>
      </xdr:nvSpPr>
      <xdr:spPr>
        <a:xfrm>
          <a:off x="7239927" y="315182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4116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47" name="Textfeld 46">
          <a:extLst>
            <a:ext uri="{FF2B5EF4-FFF2-40B4-BE49-F238E27FC236}">
              <a16:creationId xmlns:a16="http://schemas.microsoft.com/office/drawing/2014/main" id="{F051D6DE-E6B7-4C22-8349-0C81CF51A351}"/>
            </a:ext>
          </a:extLst>
        </xdr:cNvPr>
        <xdr:cNvSpPr txBox="1"/>
      </xdr:nvSpPr>
      <xdr:spPr>
        <a:xfrm>
          <a:off x="106787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209550</xdr:colOff>
      <xdr:row>2</xdr:row>
      <xdr:rowOff>311127</xdr:rowOff>
    </xdr:from>
    <xdr:ext cx="955454" cy="248851"/>
    <xdr:sp macro="" textlink="$G$10">
      <xdr:nvSpPr>
        <xdr:cNvPr id="48" name="Textfeld 47">
          <a:extLst>
            <a:ext uri="{FF2B5EF4-FFF2-40B4-BE49-F238E27FC236}">
              <a16:creationId xmlns:a16="http://schemas.microsoft.com/office/drawing/2014/main" id="{C668E991-73AF-4C13-A445-B691C8B8FAD8}"/>
            </a:ext>
          </a:extLst>
        </xdr:cNvPr>
        <xdr:cNvSpPr txBox="1"/>
      </xdr:nvSpPr>
      <xdr:spPr>
        <a:xfrm>
          <a:off x="7534275" y="1073127"/>
          <a:ext cx="9554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102,3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962688B1-C53E-4FA1-BF06-835B20608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6" name="Textfeld 15">
          <a:extLst>
            <a:ext uri="{FF2B5EF4-FFF2-40B4-BE49-F238E27FC236}">
              <a16:creationId xmlns:a16="http://schemas.microsoft.com/office/drawing/2014/main" id="{C3E4FB2D-7E64-496D-86C4-97B13D6FE5E0}"/>
            </a:ext>
          </a:extLst>
        </xdr:cNvPr>
        <xdr:cNvSpPr txBox="1"/>
      </xdr:nvSpPr>
      <xdr:spPr>
        <a:xfrm>
          <a:off x="112502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F11BCF73-FDF4-4F27-B473-6D919F6B21E3}"/>
            </a:ext>
          </a:extLst>
        </xdr:cNvPr>
        <xdr:cNvCxnSpPr/>
      </xdr:nvCxnSpPr>
      <xdr:spPr>
        <a:xfrm>
          <a:off x="3840389" y="1892314"/>
          <a:ext cx="1532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4EEB027E-D602-4493-AB5B-03D777524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600" y="30447"/>
          <a:ext cx="5139917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1A271A71-7822-464F-BB5D-341FE5EB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837668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286398</xdr:rowOff>
    </xdr:from>
    <xdr:ext cx="248851" cy="771493"/>
    <xdr:sp macro="" textlink="$D$10">
      <xdr:nvSpPr>
        <xdr:cNvPr id="36" name="Textfeld 35">
          <a:extLst>
            <a:ext uri="{FF2B5EF4-FFF2-40B4-BE49-F238E27FC236}">
              <a16:creationId xmlns:a16="http://schemas.microsoft.com/office/drawing/2014/main" id="{2A4443B6-4BFC-4999-AB15-993E509EA717}"/>
            </a:ext>
          </a:extLst>
        </xdr:cNvPr>
        <xdr:cNvSpPr txBox="1"/>
      </xdr:nvSpPr>
      <xdr:spPr>
        <a:xfrm rot="16200000">
          <a:off x="8595564" y="130971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2700 mm</a:t>
          </a:fld>
          <a:endParaRPr lang="de-DE" sz="1100"/>
        </a:p>
      </xdr:txBody>
    </xdr:sp>
    <xdr:clientData/>
  </xdr:oneCellAnchor>
  <xdr:oneCellAnchor>
    <xdr:from>
      <xdr:col>12</xdr:col>
      <xdr:colOff>613410</xdr:colOff>
      <xdr:row>2</xdr:row>
      <xdr:rowOff>291010</xdr:rowOff>
    </xdr:from>
    <xdr:ext cx="248851" cy="771493"/>
    <xdr:sp macro="" textlink="$P$10">
      <xdr:nvSpPr>
        <xdr:cNvPr id="37" name="Textfeld 36">
          <a:extLst>
            <a:ext uri="{FF2B5EF4-FFF2-40B4-BE49-F238E27FC236}">
              <a16:creationId xmlns:a16="http://schemas.microsoft.com/office/drawing/2014/main" id="{B60722F6-22E7-42CF-BC2E-89E5E87A4350}"/>
            </a:ext>
          </a:extLst>
        </xdr:cNvPr>
        <xdr:cNvSpPr txBox="1"/>
      </xdr:nvSpPr>
      <xdr:spPr>
        <a:xfrm rot="16200000">
          <a:off x="8857354" y="131433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2862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38" name="Textfeld 37">
          <a:extLst>
            <a:ext uri="{FF2B5EF4-FFF2-40B4-BE49-F238E27FC236}">
              <a16:creationId xmlns:a16="http://schemas.microsoft.com/office/drawing/2014/main" id="{F6898BA6-A621-4BE5-9E6E-5566204A3553}"/>
            </a:ext>
          </a:extLst>
        </xdr:cNvPr>
        <xdr:cNvSpPr txBox="1"/>
      </xdr:nvSpPr>
      <xdr:spPr>
        <a:xfrm rot="16200000">
          <a:off x="54854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2250 mm</a:t>
          </a:fld>
          <a:endParaRPr lang="de-DE" sz="1100"/>
        </a:p>
      </xdr:txBody>
    </xdr:sp>
    <xdr:clientData/>
  </xdr:oneCellAnchor>
  <xdr:oneCellAnchor>
    <xdr:from>
      <xdr:col>10</xdr:col>
      <xdr:colOff>31956</xdr:colOff>
      <xdr:row>0</xdr:row>
      <xdr:rowOff>0</xdr:rowOff>
    </xdr:from>
    <xdr:ext cx="771493" cy="248851"/>
    <xdr:sp macro="" textlink="$L$10">
      <xdr:nvSpPr>
        <xdr:cNvPr id="39" name="Textfeld 38">
          <a:extLst>
            <a:ext uri="{FF2B5EF4-FFF2-40B4-BE49-F238E27FC236}">
              <a16:creationId xmlns:a16="http://schemas.microsoft.com/office/drawing/2014/main" id="{60725C12-7ED1-4CF7-8B0E-C8482B9F97E4}"/>
            </a:ext>
          </a:extLst>
        </xdr:cNvPr>
        <xdr:cNvSpPr txBox="1"/>
      </xdr:nvSpPr>
      <xdr:spPr>
        <a:xfrm>
          <a:off x="7356681" y="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4174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40" name="Textfeld 39">
          <a:extLst>
            <a:ext uri="{FF2B5EF4-FFF2-40B4-BE49-F238E27FC236}">
              <a16:creationId xmlns:a16="http://schemas.microsoft.com/office/drawing/2014/main" id="{FE356C9C-1C85-4D75-86A3-6700AFA8F11D}"/>
            </a:ext>
          </a:extLst>
        </xdr:cNvPr>
        <xdr:cNvSpPr txBox="1"/>
      </xdr:nvSpPr>
      <xdr:spPr>
        <a:xfrm rot="20995738">
          <a:off x="74952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3950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483017" cy="248851"/>
    <xdr:sp macro="" textlink="$F$10">
      <xdr:nvSpPr>
        <xdr:cNvPr id="41" name="Textfeld 40">
          <a:extLst>
            <a:ext uri="{FF2B5EF4-FFF2-40B4-BE49-F238E27FC236}">
              <a16:creationId xmlns:a16="http://schemas.microsoft.com/office/drawing/2014/main" id="{5DE59424-4374-425D-98BE-E2DB1A84CA30}"/>
            </a:ext>
          </a:extLst>
        </xdr:cNvPr>
        <xdr:cNvSpPr txBox="1"/>
      </xdr:nvSpPr>
      <xdr:spPr>
        <a:xfrm>
          <a:off x="7133160" y="1065245"/>
          <a:ext cx="4830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5,7°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771493" cy="248851"/>
    <xdr:sp macro="" textlink="$O$10">
      <xdr:nvSpPr>
        <xdr:cNvPr id="42" name="Textfeld 41">
          <a:extLst>
            <a:ext uri="{FF2B5EF4-FFF2-40B4-BE49-F238E27FC236}">
              <a16:creationId xmlns:a16="http://schemas.microsoft.com/office/drawing/2014/main" id="{6E01B771-10AC-4482-978C-0D831FF8DF3A}"/>
            </a:ext>
          </a:extLst>
        </xdr:cNvPr>
        <xdr:cNvSpPr txBox="1"/>
      </xdr:nvSpPr>
      <xdr:spPr>
        <a:xfrm>
          <a:off x="7216277" y="260265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4007 mm</a:t>
          </a:fld>
          <a:endParaRPr lang="de-DE" sz="1100"/>
        </a:p>
      </xdr:txBody>
    </xdr:sp>
    <xdr:clientData/>
  </xdr:oneCellAnchor>
  <xdr:oneCellAnchor>
    <xdr:from>
      <xdr:col>10</xdr:col>
      <xdr:colOff>283391</xdr:colOff>
      <xdr:row>7</xdr:row>
      <xdr:rowOff>206301</xdr:rowOff>
    </xdr:from>
    <xdr:ext cx="771493" cy="248851"/>
    <xdr:sp macro="" textlink="$I$10">
      <xdr:nvSpPr>
        <xdr:cNvPr id="43" name="Textfeld 42">
          <a:extLst>
            <a:ext uri="{FF2B5EF4-FFF2-40B4-BE49-F238E27FC236}">
              <a16:creationId xmlns:a16="http://schemas.microsoft.com/office/drawing/2014/main" id="{FAC4E2EB-1267-448F-8260-2E8BDFEC2FA3}"/>
            </a:ext>
          </a:extLst>
        </xdr:cNvPr>
        <xdr:cNvSpPr txBox="1"/>
      </xdr:nvSpPr>
      <xdr:spPr>
        <a:xfrm>
          <a:off x="7608116" y="28733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4062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771493" cy="248851"/>
    <xdr:sp macro="" textlink="$R$10">
      <xdr:nvSpPr>
        <xdr:cNvPr id="44" name="Textfeld 43">
          <a:extLst>
            <a:ext uri="{FF2B5EF4-FFF2-40B4-BE49-F238E27FC236}">
              <a16:creationId xmlns:a16="http://schemas.microsoft.com/office/drawing/2014/main" id="{EB420863-838B-42D7-9689-4FD46FA09631}"/>
            </a:ext>
          </a:extLst>
        </xdr:cNvPr>
        <xdr:cNvSpPr txBox="1"/>
      </xdr:nvSpPr>
      <xdr:spPr>
        <a:xfrm>
          <a:off x="7655413" y="34067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4234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771493" cy="248851"/>
    <xdr:sp macro="" textlink="$Q$10">
      <xdr:nvSpPr>
        <xdr:cNvPr id="45" name="Textfeld 44">
          <a:extLst>
            <a:ext uri="{FF2B5EF4-FFF2-40B4-BE49-F238E27FC236}">
              <a16:creationId xmlns:a16="http://schemas.microsoft.com/office/drawing/2014/main" id="{18EC17E0-3F5C-489E-9E27-DFFA7D9D1988}"/>
            </a:ext>
          </a:extLst>
        </xdr:cNvPr>
        <xdr:cNvSpPr txBox="1"/>
      </xdr:nvSpPr>
      <xdr:spPr>
        <a:xfrm>
          <a:off x="7239927" y="315182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4117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46" name="Textfeld 45">
          <a:extLst>
            <a:ext uri="{FF2B5EF4-FFF2-40B4-BE49-F238E27FC236}">
              <a16:creationId xmlns:a16="http://schemas.microsoft.com/office/drawing/2014/main" id="{2DE0C8A2-B583-4517-B99F-1B1A82090774}"/>
            </a:ext>
          </a:extLst>
        </xdr:cNvPr>
        <xdr:cNvSpPr txBox="1"/>
      </xdr:nvSpPr>
      <xdr:spPr>
        <a:xfrm>
          <a:off x="106787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209550</xdr:colOff>
      <xdr:row>2</xdr:row>
      <xdr:rowOff>311127</xdr:rowOff>
    </xdr:from>
    <xdr:ext cx="955454" cy="248851"/>
    <xdr:sp macro="" textlink="$G$10">
      <xdr:nvSpPr>
        <xdr:cNvPr id="47" name="Textfeld 46">
          <a:extLst>
            <a:ext uri="{FF2B5EF4-FFF2-40B4-BE49-F238E27FC236}">
              <a16:creationId xmlns:a16="http://schemas.microsoft.com/office/drawing/2014/main" id="{DE539A12-F5CF-4F47-9F0A-EB6AF4052E1E}"/>
            </a:ext>
          </a:extLst>
        </xdr:cNvPr>
        <xdr:cNvSpPr txBox="1"/>
      </xdr:nvSpPr>
      <xdr:spPr>
        <a:xfrm>
          <a:off x="7549403" y="1073127"/>
          <a:ext cx="9554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99,8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95F4F89A-2E5A-43FB-AB21-CF078C844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6" name="Textfeld 15">
          <a:extLst>
            <a:ext uri="{FF2B5EF4-FFF2-40B4-BE49-F238E27FC236}">
              <a16:creationId xmlns:a16="http://schemas.microsoft.com/office/drawing/2014/main" id="{67277209-8910-4879-8F28-DBA8F8220FF5}"/>
            </a:ext>
          </a:extLst>
        </xdr:cNvPr>
        <xdr:cNvSpPr txBox="1"/>
      </xdr:nvSpPr>
      <xdr:spPr>
        <a:xfrm>
          <a:off x="112502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33" name="Gerade Verbindung mit Pfeil 32">
          <a:extLst>
            <a:ext uri="{FF2B5EF4-FFF2-40B4-BE49-F238E27FC236}">
              <a16:creationId xmlns:a16="http://schemas.microsoft.com/office/drawing/2014/main" id="{5446402E-C1BB-4117-BE4B-481F6FE7DFC8}"/>
            </a:ext>
          </a:extLst>
        </xdr:cNvPr>
        <xdr:cNvCxnSpPr/>
      </xdr:nvCxnSpPr>
      <xdr:spPr>
        <a:xfrm>
          <a:off x="3840389" y="1892314"/>
          <a:ext cx="1532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474D73B5-D685-4615-914D-4F50A667D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600" y="30447"/>
          <a:ext cx="5139917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DD5ED125-F4CA-4A6A-8E79-71EAC164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837668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253889</xdr:rowOff>
    </xdr:from>
    <xdr:ext cx="248851" cy="836511"/>
    <xdr:sp macro="" textlink="$D$10">
      <xdr:nvSpPr>
        <xdr:cNvPr id="36" name="Textfeld 35">
          <a:extLst>
            <a:ext uri="{FF2B5EF4-FFF2-40B4-BE49-F238E27FC236}">
              <a16:creationId xmlns:a16="http://schemas.microsoft.com/office/drawing/2014/main" id="{5E153A15-6158-45EF-99B3-E549B0190E13}"/>
            </a:ext>
          </a:extLst>
        </xdr:cNvPr>
        <xdr:cNvSpPr txBox="1"/>
      </xdr:nvSpPr>
      <xdr:spPr>
        <a:xfrm rot="16200000">
          <a:off x="8581545" y="1309719"/>
          <a:ext cx="83651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2700 mm</a:t>
          </a:fld>
          <a:endParaRPr lang="de-DE" sz="1100"/>
        </a:p>
      </xdr:txBody>
    </xdr:sp>
    <xdr:clientData/>
  </xdr:oneCellAnchor>
  <xdr:oneCellAnchor>
    <xdr:from>
      <xdr:col>12</xdr:col>
      <xdr:colOff>613410</xdr:colOff>
      <xdr:row>2</xdr:row>
      <xdr:rowOff>258501</xdr:rowOff>
    </xdr:from>
    <xdr:ext cx="248851" cy="836511"/>
    <xdr:sp macro="" textlink="$P$10">
      <xdr:nvSpPr>
        <xdr:cNvPr id="37" name="Textfeld 36">
          <a:extLst>
            <a:ext uri="{FF2B5EF4-FFF2-40B4-BE49-F238E27FC236}">
              <a16:creationId xmlns:a16="http://schemas.microsoft.com/office/drawing/2014/main" id="{3A1AE532-E54A-48D3-874F-0B6496FDB014}"/>
            </a:ext>
          </a:extLst>
        </xdr:cNvPr>
        <xdr:cNvSpPr txBox="1"/>
      </xdr:nvSpPr>
      <xdr:spPr>
        <a:xfrm rot="16200000">
          <a:off x="8824845" y="1314331"/>
          <a:ext cx="83651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2862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38" name="Textfeld 37">
          <a:extLst>
            <a:ext uri="{FF2B5EF4-FFF2-40B4-BE49-F238E27FC236}">
              <a16:creationId xmlns:a16="http://schemas.microsoft.com/office/drawing/2014/main" id="{247563D0-4E47-477C-A9D9-2B5F57F22916}"/>
            </a:ext>
          </a:extLst>
        </xdr:cNvPr>
        <xdr:cNvSpPr txBox="1"/>
      </xdr:nvSpPr>
      <xdr:spPr>
        <a:xfrm rot="16200000">
          <a:off x="54854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2200 mm</a:t>
          </a:fld>
          <a:endParaRPr lang="de-DE" sz="1100"/>
        </a:p>
      </xdr:txBody>
    </xdr:sp>
    <xdr:clientData/>
  </xdr:oneCellAnchor>
  <xdr:oneCellAnchor>
    <xdr:from>
      <xdr:col>10</xdr:col>
      <xdr:colOff>31955</xdr:colOff>
      <xdr:row>0</xdr:row>
      <xdr:rowOff>1</xdr:rowOff>
    </xdr:from>
    <xdr:ext cx="864515" cy="248851"/>
    <xdr:sp macro="" textlink="$L$10">
      <xdr:nvSpPr>
        <xdr:cNvPr id="39" name="Textfeld 38">
          <a:extLst>
            <a:ext uri="{FF2B5EF4-FFF2-40B4-BE49-F238E27FC236}">
              <a16:creationId xmlns:a16="http://schemas.microsoft.com/office/drawing/2014/main" id="{261A8393-01C5-45C2-8937-FB060D72A97C}"/>
            </a:ext>
          </a:extLst>
        </xdr:cNvPr>
        <xdr:cNvSpPr txBox="1"/>
      </xdr:nvSpPr>
      <xdr:spPr>
        <a:xfrm>
          <a:off x="7371808" y="1"/>
          <a:ext cx="864515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4602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40" name="Textfeld 39">
          <a:extLst>
            <a:ext uri="{FF2B5EF4-FFF2-40B4-BE49-F238E27FC236}">
              <a16:creationId xmlns:a16="http://schemas.microsoft.com/office/drawing/2014/main" id="{FC079BEF-C4C8-4F5A-82A0-F2E5256172E7}"/>
            </a:ext>
          </a:extLst>
        </xdr:cNvPr>
        <xdr:cNvSpPr txBox="1"/>
      </xdr:nvSpPr>
      <xdr:spPr>
        <a:xfrm rot="20995738">
          <a:off x="74952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4345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845428" cy="248851"/>
    <xdr:sp macro="" textlink="$F$10">
      <xdr:nvSpPr>
        <xdr:cNvPr id="41" name="Textfeld 40">
          <a:extLst>
            <a:ext uri="{FF2B5EF4-FFF2-40B4-BE49-F238E27FC236}">
              <a16:creationId xmlns:a16="http://schemas.microsoft.com/office/drawing/2014/main" id="{7E36D17F-0127-40EC-8561-AA3E349BAE19}"/>
            </a:ext>
          </a:extLst>
        </xdr:cNvPr>
        <xdr:cNvSpPr txBox="1"/>
      </xdr:nvSpPr>
      <xdr:spPr>
        <a:xfrm>
          <a:off x="7133160" y="1065245"/>
          <a:ext cx="84542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5,4°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972982" cy="248851"/>
    <xdr:sp macro="" textlink="$O$10">
      <xdr:nvSpPr>
        <xdr:cNvPr id="42" name="Textfeld 41">
          <a:extLst>
            <a:ext uri="{FF2B5EF4-FFF2-40B4-BE49-F238E27FC236}">
              <a16:creationId xmlns:a16="http://schemas.microsoft.com/office/drawing/2014/main" id="{E8E23AFA-ACC1-46ED-894A-99BB995548E6}"/>
            </a:ext>
          </a:extLst>
        </xdr:cNvPr>
        <xdr:cNvSpPr txBox="1"/>
      </xdr:nvSpPr>
      <xdr:spPr>
        <a:xfrm>
          <a:off x="7229724" y="2602659"/>
          <a:ext cx="97298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4404 mm</a:t>
          </a:fld>
          <a:endParaRPr lang="de-DE" sz="1100"/>
        </a:p>
      </xdr:txBody>
    </xdr:sp>
    <xdr:clientData/>
  </xdr:oneCellAnchor>
  <xdr:oneCellAnchor>
    <xdr:from>
      <xdr:col>10</xdr:col>
      <xdr:colOff>283390</xdr:colOff>
      <xdr:row>7</xdr:row>
      <xdr:rowOff>206301</xdr:rowOff>
    </xdr:from>
    <xdr:ext cx="825991" cy="248851"/>
    <xdr:sp macro="" textlink="$I$10">
      <xdr:nvSpPr>
        <xdr:cNvPr id="43" name="Textfeld 42">
          <a:extLst>
            <a:ext uri="{FF2B5EF4-FFF2-40B4-BE49-F238E27FC236}">
              <a16:creationId xmlns:a16="http://schemas.microsoft.com/office/drawing/2014/main" id="{256450C0-7F97-4B27-B1D0-E23E85CCC2F6}"/>
            </a:ext>
          </a:extLst>
        </xdr:cNvPr>
        <xdr:cNvSpPr txBox="1"/>
      </xdr:nvSpPr>
      <xdr:spPr>
        <a:xfrm>
          <a:off x="7623243" y="2873301"/>
          <a:ext cx="825991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4479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1014018" cy="248851"/>
    <xdr:sp macro="" textlink="$R$10">
      <xdr:nvSpPr>
        <xdr:cNvPr id="44" name="Textfeld 43">
          <a:extLst>
            <a:ext uri="{FF2B5EF4-FFF2-40B4-BE49-F238E27FC236}">
              <a16:creationId xmlns:a16="http://schemas.microsoft.com/office/drawing/2014/main" id="{C5D74B30-36A2-4937-9816-D44173AFA144}"/>
            </a:ext>
          </a:extLst>
        </xdr:cNvPr>
        <xdr:cNvSpPr txBox="1"/>
      </xdr:nvSpPr>
      <xdr:spPr>
        <a:xfrm>
          <a:off x="7670541" y="3406701"/>
          <a:ext cx="10140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4670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1274302" cy="248851"/>
    <xdr:sp macro="" textlink="$Q$10">
      <xdr:nvSpPr>
        <xdr:cNvPr id="45" name="Textfeld 44">
          <a:extLst>
            <a:ext uri="{FF2B5EF4-FFF2-40B4-BE49-F238E27FC236}">
              <a16:creationId xmlns:a16="http://schemas.microsoft.com/office/drawing/2014/main" id="{5E716385-7DF9-4357-B79B-F8703C5FED3D}"/>
            </a:ext>
          </a:extLst>
        </xdr:cNvPr>
        <xdr:cNvSpPr txBox="1"/>
      </xdr:nvSpPr>
      <xdr:spPr>
        <a:xfrm>
          <a:off x="7253374" y="3151825"/>
          <a:ext cx="127430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4553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46" name="Textfeld 45">
          <a:extLst>
            <a:ext uri="{FF2B5EF4-FFF2-40B4-BE49-F238E27FC236}">
              <a16:creationId xmlns:a16="http://schemas.microsoft.com/office/drawing/2014/main" id="{F0FEAD45-B471-4B97-A396-2026311735E8}"/>
            </a:ext>
          </a:extLst>
        </xdr:cNvPr>
        <xdr:cNvSpPr txBox="1"/>
      </xdr:nvSpPr>
      <xdr:spPr>
        <a:xfrm>
          <a:off x="106787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209549</xdr:colOff>
      <xdr:row>2</xdr:row>
      <xdr:rowOff>311127</xdr:rowOff>
    </xdr:from>
    <xdr:ext cx="1045509" cy="248851"/>
    <xdr:sp macro="" textlink="$G$10">
      <xdr:nvSpPr>
        <xdr:cNvPr id="47" name="Textfeld 46">
          <a:extLst>
            <a:ext uri="{FF2B5EF4-FFF2-40B4-BE49-F238E27FC236}">
              <a16:creationId xmlns:a16="http://schemas.microsoft.com/office/drawing/2014/main" id="{2D152DD6-DDD1-44AF-9BE5-33DBCDBD6E98}"/>
            </a:ext>
          </a:extLst>
        </xdr:cNvPr>
        <xdr:cNvSpPr txBox="1"/>
      </xdr:nvSpPr>
      <xdr:spPr>
        <a:xfrm>
          <a:off x="7549402" y="1073127"/>
          <a:ext cx="104550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94,0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A177B64A-9062-44E2-95E3-7E602418F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6" name="Textfeld 15">
          <a:extLst>
            <a:ext uri="{FF2B5EF4-FFF2-40B4-BE49-F238E27FC236}">
              <a16:creationId xmlns:a16="http://schemas.microsoft.com/office/drawing/2014/main" id="{ECF85940-E9B4-4872-8FB1-88B726A8CF65}"/>
            </a:ext>
          </a:extLst>
        </xdr:cNvPr>
        <xdr:cNvSpPr txBox="1"/>
      </xdr:nvSpPr>
      <xdr:spPr>
        <a:xfrm>
          <a:off x="112502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47" name="Gerade Verbindung mit Pfeil 46">
          <a:extLst>
            <a:ext uri="{FF2B5EF4-FFF2-40B4-BE49-F238E27FC236}">
              <a16:creationId xmlns:a16="http://schemas.microsoft.com/office/drawing/2014/main" id="{82CB3CAC-0444-4141-974A-190B2C400A7B}"/>
            </a:ext>
          </a:extLst>
        </xdr:cNvPr>
        <xdr:cNvCxnSpPr/>
      </xdr:nvCxnSpPr>
      <xdr:spPr>
        <a:xfrm>
          <a:off x="3840389" y="1892314"/>
          <a:ext cx="1532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9BE8C2F8-C485-4266-9139-BA0EA763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600" y="30447"/>
          <a:ext cx="5139917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7FBA56F6-8951-40E7-8183-4B20B54C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837668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286398</xdr:rowOff>
    </xdr:from>
    <xdr:ext cx="248851" cy="771493"/>
    <xdr:sp macro="" textlink="$D$10">
      <xdr:nvSpPr>
        <xdr:cNvPr id="50" name="Textfeld 49">
          <a:extLst>
            <a:ext uri="{FF2B5EF4-FFF2-40B4-BE49-F238E27FC236}">
              <a16:creationId xmlns:a16="http://schemas.microsoft.com/office/drawing/2014/main" id="{6FA3D586-CC25-4E72-B053-BDD31190C820}"/>
            </a:ext>
          </a:extLst>
        </xdr:cNvPr>
        <xdr:cNvSpPr txBox="1"/>
      </xdr:nvSpPr>
      <xdr:spPr>
        <a:xfrm rot="16200000">
          <a:off x="8595564" y="130971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2700 mm</a:t>
          </a:fld>
          <a:endParaRPr lang="de-DE" sz="1100"/>
        </a:p>
      </xdr:txBody>
    </xdr:sp>
    <xdr:clientData/>
  </xdr:oneCellAnchor>
  <xdr:oneCellAnchor>
    <xdr:from>
      <xdr:col>12</xdr:col>
      <xdr:colOff>613410</xdr:colOff>
      <xdr:row>2</xdr:row>
      <xdr:rowOff>291010</xdr:rowOff>
    </xdr:from>
    <xdr:ext cx="248851" cy="771493"/>
    <xdr:sp macro="" textlink="$P$10">
      <xdr:nvSpPr>
        <xdr:cNvPr id="51" name="Textfeld 50">
          <a:extLst>
            <a:ext uri="{FF2B5EF4-FFF2-40B4-BE49-F238E27FC236}">
              <a16:creationId xmlns:a16="http://schemas.microsoft.com/office/drawing/2014/main" id="{DAAE04D5-13B9-4569-A8DF-0AE53CB2C0A0}"/>
            </a:ext>
          </a:extLst>
        </xdr:cNvPr>
        <xdr:cNvSpPr txBox="1"/>
      </xdr:nvSpPr>
      <xdr:spPr>
        <a:xfrm rot="16200000">
          <a:off x="8857354" y="131433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2862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52" name="Textfeld 51">
          <a:extLst>
            <a:ext uri="{FF2B5EF4-FFF2-40B4-BE49-F238E27FC236}">
              <a16:creationId xmlns:a16="http://schemas.microsoft.com/office/drawing/2014/main" id="{E5C9C45F-3237-4264-9232-9683BD36C228}"/>
            </a:ext>
          </a:extLst>
        </xdr:cNvPr>
        <xdr:cNvSpPr txBox="1"/>
      </xdr:nvSpPr>
      <xdr:spPr>
        <a:xfrm rot="16200000">
          <a:off x="54854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2200 mm</a:t>
          </a:fld>
          <a:endParaRPr lang="de-DE" sz="1100"/>
        </a:p>
      </xdr:txBody>
    </xdr:sp>
    <xdr:clientData/>
  </xdr:oneCellAnchor>
  <xdr:oneCellAnchor>
    <xdr:from>
      <xdr:col>10</xdr:col>
      <xdr:colOff>31956</xdr:colOff>
      <xdr:row>0</xdr:row>
      <xdr:rowOff>0</xdr:rowOff>
    </xdr:from>
    <xdr:ext cx="771493" cy="248851"/>
    <xdr:sp macro="" textlink="$L$10">
      <xdr:nvSpPr>
        <xdr:cNvPr id="53" name="Textfeld 52">
          <a:extLst>
            <a:ext uri="{FF2B5EF4-FFF2-40B4-BE49-F238E27FC236}">
              <a16:creationId xmlns:a16="http://schemas.microsoft.com/office/drawing/2014/main" id="{AEE6EC88-6248-4733-AADA-AA77330FAB93}"/>
            </a:ext>
          </a:extLst>
        </xdr:cNvPr>
        <xdr:cNvSpPr txBox="1"/>
      </xdr:nvSpPr>
      <xdr:spPr>
        <a:xfrm>
          <a:off x="7356681" y="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4133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54" name="Textfeld 53">
          <a:extLst>
            <a:ext uri="{FF2B5EF4-FFF2-40B4-BE49-F238E27FC236}">
              <a16:creationId xmlns:a16="http://schemas.microsoft.com/office/drawing/2014/main" id="{52C0D86F-0B26-44D9-AE5D-95BE1153B4B3}"/>
            </a:ext>
          </a:extLst>
        </xdr:cNvPr>
        <xdr:cNvSpPr txBox="1"/>
      </xdr:nvSpPr>
      <xdr:spPr>
        <a:xfrm rot="20995738">
          <a:off x="74952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3845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522259" cy="248851"/>
    <xdr:sp macro="" textlink="$F$10">
      <xdr:nvSpPr>
        <xdr:cNvPr id="55" name="Textfeld 54">
          <a:extLst>
            <a:ext uri="{FF2B5EF4-FFF2-40B4-BE49-F238E27FC236}">
              <a16:creationId xmlns:a16="http://schemas.microsoft.com/office/drawing/2014/main" id="{F85BEB92-D1FB-45E0-9956-B4555A4F0B22}"/>
            </a:ext>
          </a:extLst>
        </xdr:cNvPr>
        <xdr:cNvSpPr txBox="1"/>
      </xdr:nvSpPr>
      <xdr:spPr>
        <a:xfrm>
          <a:off x="7133160" y="1065245"/>
          <a:ext cx="52225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5,7°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771493" cy="248851"/>
    <xdr:sp macro="" textlink="$O$10">
      <xdr:nvSpPr>
        <xdr:cNvPr id="56" name="Textfeld 55">
          <a:extLst>
            <a:ext uri="{FF2B5EF4-FFF2-40B4-BE49-F238E27FC236}">
              <a16:creationId xmlns:a16="http://schemas.microsoft.com/office/drawing/2014/main" id="{6B79EBD9-71F3-49BC-B0D7-2C454F146033}"/>
            </a:ext>
          </a:extLst>
        </xdr:cNvPr>
        <xdr:cNvSpPr txBox="1"/>
      </xdr:nvSpPr>
      <xdr:spPr>
        <a:xfrm>
          <a:off x="7216277" y="260265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3901 mm</a:t>
          </a:fld>
          <a:endParaRPr lang="de-DE" sz="1100"/>
        </a:p>
      </xdr:txBody>
    </xdr:sp>
    <xdr:clientData/>
  </xdr:oneCellAnchor>
  <xdr:oneCellAnchor>
    <xdr:from>
      <xdr:col>10</xdr:col>
      <xdr:colOff>283391</xdr:colOff>
      <xdr:row>7</xdr:row>
      <xdr:rowOff>206301</xdr:rowOff>
    </xdr:from>
    <xdr:ext cx="771493" cy="248851"/>
    <xdr:sp macro="" textlink="$I$10">
      <xdr:nvSpPr>
        <xdr:cNvPr id="57" name="Textfeld 56">
          <a:extLst>
            <a:ext uri="{FF2B5EF4-FFF2-40B4-BE49-F238E27FC236}">
              <a16:creationId xmlns:a16="http://schemas.microsoft.com/office/drawing/2014/main" id="{31A4A41E-0A08-4245-85B1-61A05145ADBE}"/>
            </a:ext>
          </a:extLst>
        </xdr:cNvPr>
        <xdr:cNvSpPr txBox="1"/>
      </xdr:nvSpPr>
      <xdr:spPr>
        <a:xfrm>
          <a:off x="7608116" y="28733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3998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771493" cy="248851"/>
    <xdr:sp macro="" textlink="$R$10">
      <xdr:nvSpPr>
        <xdr:cNvPr id="58" name="Textfeld 57">
          <a:extLst>
            <a:ext uri="{FF2B5EF4-FFF2-40B4-BE49-F238E27FC236}">
              <a16:creationId xmlns:a16="http://schemas.microsoft.com/office/drawing/2014/main" id="{69B373D0-5B29-4C38-BC8A-FE94C69F60CB}"/>
            </a:ext>
          </a:extLst>
        </xdr:cNvPr>
        <xdr:cNvSpPr txBox="1"/>
      </xdr:nvSpPr>
      <xdr:spPr>
        <a:xfrm>
          <a:off x="7655413" y="34067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4214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771493" cy="248851"/>
    <xdr:sp macro="" textlink="$Q$10">
      <xdr:nvSpPr>
        <xdr:cNvPr id="59" name="Textfeld 58">
          <a:extLst>
            <a:ext uri="{FF2B5EF4-FFF2-40B4-BE49-F238E27FC236}">
              <a16:creationId xmlns:a16="http://schemas.microsoft.com/office/drawing/2014/main" id="{7DC8150D-F4EB-48D5-BA9B-106680B7686B}"/>
            </a:ext>
          </a:extLst>
        </xdr:cNvPr>
        <xdr:cNvSpPr txBox="1"/>
      </xdr:nvSpPr>
      <xdr:spPr>
        <a:xfrm>
          <a:off x="7239927" y="315182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4097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60" name="Textfeld 59">
          <a:extLst>
            <a:ext uri="{FF2B5EF4-FFF2-40B4-BE49-F238E27FC236}">
              <a16:creationId xmlns:a16="http://schemas.microsoft.com/office/drawing/2014/main" id="{29BDFDDE-2E24-41E4-A8F9-E25F5107640F}"/>
            </a:ext>
          </a:extLst>
        </xdr:cNvPr>
        <xdr:cNvSpPr txBox="1"/>
      </xdr:nvSpPr>
      <xdr:spPr>
        <a:xfrm>
          <a:off x="106787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209550</xdr:colOff>
      <xdr:row>2</xdr:row>
      <xdr:rowOff>311127</xdr:rowOff>
    </xdr:from>
    <xdr:ext cx="955454" cy="248851"/>
    <xdr:sp macro="" textlink="$G$10">
      <xdr:nvSpPr>
        <xdr:cNvPr id="61" name="Textfeld 60">
          <a:extLst>
            <a:ext uri="{FF2B5EF4-FFF2-40B4-BE49-F238E27FC236}">
              <a16:creationId xmlns:a16="http://schemas.microsoft.com/office/drawing/2014/main" id="{00D5CE22-E0E7-4252-9ACE-099238F3702B}"/>
            </a:ext>
          </a:extLst>
        </xdr:cNvPr>
        <xdr:cNvSpPr txBox="1"/>
      </xdr:nvSpPr>
      <xdr:spPr>
        <a:xfrm>
          <a:off x="7534275" y="1073127"/>
          <a:ext cx="95545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100,0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62" name="Grafik 61">
          <a:extLst>
            <a:ext uri="{FF2B5EF4-FFF2-40B4-BE49-F238E27FC236}">
              <a16:creationId xmlns:a16="http://schemas.microsoft.com/office/drawing/2014/main" id="{EACC8457-6CBB-4BAC-B698-FB1D8D361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811439</xdr:colOff>
      <xdr:row>4</xdr:row>
      <xdr:rowOff>368314</xdr:rowOff>
    </xdr:from>
    <xdr:to>
      <xdr:col>6</xdr:col>
      <xdr:colOff>372042</xdr:colOff>
      <xdr:row>4</xdr:row>
      <xdr:rowOff>368314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C08A18C8-B5EF-4451-A1C7-7D8E39902EE0}"/>
            </a:ext>
          </a:extLst>
        </xdr:cNvPr>
        <xdr:cNvCxnSpPr/>
      </xdr:nvCxnSpPr>
      <xdr:spPr>
        <a:xfrm>
          <a:off x="4030889" y="1892314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30975</xdr:colOff>
      <xdr:row>0</xdr:row>
      <xdr:rowOff>30447</xdr:rowOff>
    </xdr:from>
    <xdr:to>
      <xdr:col>14</xdr:col>
      <xdr:colOff>446492</xdr:colOff>
      <xdr:row>9</xdr:row>
      <xdr:rowOff>257508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3CBFE62-5E3E-4760-91E0-BF35A9BE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100" y="30447"/>
          <a:ext cx="5139917" cy="3656061"/>
        </a:xfrm>
        <a:prstGeom prst="rect">
          <a:avLst/>
        </a:prstGeom>
      </xdr:spPr>
    </xdr:pic>
    <xdr:clientData/>
  </xdr:twoCellAnchor>
  <xdr:twoCellAnchor editAs="oneCell">
    <xdr:from>
      <xdr:col>3</xdr:col>
      <xdr:colOff>1103993</xdr:colOff>
      <xdr:row>3</xdr:row>
      <xdr:rowOff>233376</xdr:rowOff>
    </xdr:from>
    <xdr:to>
      <xdr:col>4</xdr:col>
      <xdr:colOff>563998</xdr:colOff>
      <xdr:row>4</xdr:row>
      <xdr:rowOff>265383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C84C9627-A6A8-4247-A8EC-1F0E8E66F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4323443" y="1376376"/>
          <a:ext cx="564905" cy="413007"/>
        </a:xfrm>
        <a:prstGeom prst="rect">
          <a:avLst/>
        </a:prstGeom>
      </xdr:spPr>
    </xdr:pic>
    <xdr:clientData/>
  </xdr:twoCellAnchor>
  <xdr:oneCellAnchor>
    <xdr:from>
      <xdr:col>12</xdr:col>
      <xdr:colOff>370110</xdr:colOff>
      <xdr:row>2</xdr:row>
      <xdr:rowOff>286398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0CC4E404-20B6-4271-8229-6FCC92F18D6D}"/>
            </a:ext>
          </a:extLst>
        </xdr:cNvPr>
        <xdr:cNvSpPr txBox="1"/>
      </xdr:nvSpPr>
      <xdr:spPr>
        <a:xfrm rot="16200000">
          <a:off x="8616519" y="130971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58AA1650-58EA-43E9-9E08-7AADFB5AF87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2700 mm</a:t>
          </a:fld>
          <a:endParaRPr lang="de-DE" sz="1100"/>
        </a:p>
      </xdr:txBody>
    </xdr:sp>
    <xdr:clientData/>
  </xdr:oneCellAnchor>
  <xdr:oneCellAnchor>
    <xdr:from>
      <xdr:col>12</xdr:col>
      <xdr:colOff>613410</xdr:colOff>
      <xdr:row>2</xdr:row>
      <xdr:rowOff>291010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4DB861CB-01FB-48D4-A54E-32E38D82DD4E}"/>
            </a:ext>
          </a:extLst>
        </xdr:cNvPr>
        <xdr:cNvSpPr txBox="1"/>
      </xdr:nvSpPr>
      <xdr:spPr>
        <a:xfrm rot="16200000">
          <a:off x="8859819" y="131433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9272F4C-1428-4583-982F-1CEA73C34DF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2864 mm</a:t>
          </a:fld>
          <a:endParaRPr lang="de-DE" sz="1100"/>
        </a:p>
      </xdr:txBody>
    </xdr:sp>
    <xdr:clientData/>
  </xdr:oneCellAnchor>
  <xdr:oneCellAnchor>
    <xdr:from>
      <xdr:col>7</xdr:col>
      <xdr:colOff>165147</xdr:colOff>
      <xdr:row>3</xdr:row>
      <xdr:rowOff>366809</xdr:rowOff>
    </xdr:from>
    <xdr:ext cx="248851" cy="771493"/>
    <xdr:sp macro="" textlink="$B$10">
      <xdr:nvSpPr>
        <xdr:cNvPr id="9" name="Textfeld 8">
          <a:extLst>
            <a:ext uri="{FF2B5EF4-FFF2-40B4-BE49-F238E27FC236}">
              <a16:creationId xmlns:a16="http://schemas.microsoft.com/office/drawing/2014/main" id="{915FF82F-AC0B-482C-9914-8617E58DD1BE}"/>
            </a:ext>
          </a:extLst>
        </xdr:cNvPr>
        <xdr:cNvSpPr txBox="1"/>
      </xdr:nvSpPr>
      <xdr:spPr>
        <a:xfrm rot="16200000">
          <a:off x="6056976" y="177113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16781E48-F1A0-424A-91D5-93BDED9D9A4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2250 mm</a:t>
          </a:fld>
          <a:endParaRPr lang="de-DE" sz="1100"/>
        </a:p>
      </xdr:txBody>
    </xdr:sp>
    <xdr:clientData/>
  </xdr:oneCellAnchor>
  <xdr:oneCellAnchor>
    <xdr:from>
      <xdr:col>10</xdr:col>
      <xdr:colOff>31956</xdr:colOff>
      <xdr:row>0</xdr:row>
      <xdr:rowOff>0</xdr:rowOff>
    </xdr:from>
    <xdr:ext cx="771493" cy="248851"/>
    <xdr:sp macro="" textlink="$L$10">
      <xdr:nvSpPr>
        <xdr:cNvPr id="13" name="Textfeld 12">
          <a:extLst>
            <a:ext uri="{FF2B5EF4-FFF2-40B4-BE49-F238E27FC236}">
              <a16:creationId xmlns:a16="http://schemas.microsoft.com/office/drawing/2014/main" id="{96763C03-CC16-4E2B-9EE7-3924A3CC9C93}"/>
            </a:ext>
          </a:extLst>
        </xdr:cNvPr>
        <xdr:cNvSpPr txBox="1"/>
      </xdr:nvSpPr>
      <xdr:spPr>
        <a:xfrm>
          <a:off x="7928181" y="0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4145 mm</a:t>
          </a:fld>
          <a:endParaRPr lang="de-DE" sz="1100"/>
        </a:p>
      </xdr:txBody>
    </xdr:sp>
    <xdr:clientData/>
  </xdr:oneCellAnchor>
  <xdr:oneCellAnchor>
    <xdr:from>
      <xdr:col>10</xdr:col>
      <xdr:colOff>170475</xdr:colOff>
      <xdr:row>1</xdr:row>
      <xdr:rowOff>10508</xdr:rowOff>
    </xdr:from>
    <xdr:ext cx="771493" cy="248851"/>
    <xdr:sp macro="" textlink="$J$10">
      <xdr:nvSpPr>
        <xdr:cNvPr id="14" name="Textfeld 13">
          <a:extLst>
            <a:ext uri="{FF2B5EF4-FFF2-40B4-BE49-F238E27FC236}">
              <a16:creationId xmlns:a16="http://schemas.microsoft.com/office/drawing/2014/main" id="{E3A3E4D0-C9DC-454C-AD54-2E75D0054B35}"/>
            </a:ext>
          </a:extLst>
        </xdr:cNvPr>
        <xdr:cNvSpPr txBox="1"/>
      </xdr:nvSpPr>
      <xdr:spPr>
        <a:xfrm rot="20995738">
          <a:off x="8066700" y="391508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A5965F1-1CC7-4FE5-927C-0CDCBA7DCC0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4005 mm</a:t>
          </a:fld>
          <a:endParaRPr lang="de-DE" sz="1100"/>
        </a:p>
      </xdr:txBody>
    </xdr:sp>
    <xdr:clientData/>
  </xdr:oneCellAnchor>
  <xdr:oneCellAnchor>
    <xdr:from>
      <xdr:col>9</xdr:col>
      <xdr:colOff>376013</xdr:colOff>
      <xdr:row>2</xdr:row>
      <xdr:rowOff>303245</xdr:rowOff>
    </xdr:from>
    <xdr:ext cx="522259" cy="248851"/>
    <xdr:sp macro="" textlink="$F$10">
      <xdr:nvSpPr>
        <xdr:cNvPr id="15" name="Textfeld 14">
          <a:extLst>
            <a:ext uri="{FF2B5EF4-FFF2-40B4-BE49-F238E27FC236}">
              <a16:creationId xmlns:a16="http://schemas.microsoft.com/office/drawing/2014/main" id="{E7C59EEF-D87D-4441-B661-8E66564E6646}"/>
            </a:ext>
          </a:extLst>
        </xdr:cNvPr>
        <xdr:cNvSpPr txBox="1"/>
      </xdr:nvSpPr>
      <xdr:spPr>
        <a:xfrm>
          <a:off x="7133160" y="1065245"/>
          <a:ext cx="52225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25CEDC4A-A5C6-4C71-A7FD-4A194D649808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5,4°</a:t>
          </a:fld>
          <a:endParaRPr lang="de-DE" sz="1100"/>
        </a:p>
      </xdr:txBody>
    </xdr:sp>
    <xdr:clientData/>
  </xdr:oneCellAnchor>
  <xdr:oneCellAnchor>
    <xdr:from>
      <xdr:col>9</xdr:col>
      <xdr:colOff>472577</xdr:colOff>
      <xdr:row>6</xdr:row>
      <xdr:rowOff>316659</xdr:rowOff>
    </xdr:from>
    <xdr:ext cx="771493" cy="248851"/>
    <xdr:sp macro="" textlink="$O$10">
      <xdr:nvSpPr>
        <xdr:cNvPr id="16" name="Textfeld 15">
          <a:extLst>
            <a:ext uri="{FF2B5EF4-FFF2-40B4-BE49-F238E27FC236}">
              <a16:creationId xmlns:a16="http://schemas.microsoft.com/office/drawing/2014/main" id="{4B3938B6-E61C-431F-A13F-16CFF1702231}"/>
            </a:ext>
          </a:extLst>
        </xdr:cNvPr>
        <xdr:cNvSpPr txBox="1"/>
      </xdr:nvSpPr>
      <xdr:spPr>
        <a:xfrm>
          <a:off x="7787777" y="260265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758E885-B516-4D61-95A5-B32866035849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3933 mm</a:t>
          </a:fld>
          <a:endParaRPr lang="de-DE" sz="1100"/>
        </a:p>
      </xdr:txBody>
    </xdr:sp>
    <xdr:clientData/>
  </xdr:oneCellAnchor>
  <xdr:oneCellAnchor>
    <xdr:from>
      <xdr:col>10</xdr:col>
      <xdr:colOff>283391</xdr:colOff>
      <xdr:row>7</xdr:row>
      <xdr:rowOff>206301</xdr:rowOff>
    </xdr:from>
    <xdr:ext cx="771493" cy="248851"/>
    <xdr:sp macro="" textlink="$I$10">
      <xdr:nvSpPr>
        <xdr:cNvPr id="17" name="Textfeld 16">
          <a:extLst>
            <a:ext uri="{FF2B5EF4-FFF2-40B4-BE49-F238E27FC236}">
              <a16:creationId xmlns:a16="http://schemas.microsoft.com/office/drawing/2014/main" id="{6B2765D2-C9C2-46DB-AE53-D05448CD441E}"/>
            </a:ext>
          </a:extLst>
        </xdr:cNvPr>
        <xdr:cNvSpPr txBox="1"/>
      </xdr:nvSpPr>
      <xdr:spPr>
        <a:xfrm>
          <a:off x="8179616" y="28733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E1318F8-A60F-459E-9F0A-5FCD91AD2B46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4031 mm</a:t>
          </a:fld>
          <a:endParaRPr lang="de-DE" sz="1100"/>
        </a:p>
      </xdr:txBody>
    </xdr:sp>
    <xdr:clientData/>
  </xdr:oneCellAnchor>
  <xdr:oneCellAnchor>
    <xdr:from>
      <xdr:col>10</xdr:col>
      <xdr:colOff>330688</xdr:colOff>
      <xdr:row>8</xdr:row>
      <xdr:rowOff>358701</xdr:rowOff>
    </xdr:from>
    <xdr:ext cx="771493" cy="248851"/>
    <xdr:sp macro="" textlink="$R$10">
      <xdr:nvSpPr>
        <xdr:cNvPr id="18" name="Textfeld 17">
          <a:extLst>
            <a:ext uri="{FF2B5EF4-FFF2-40B4-BE49-F238E27FC236}">
              <a16:creationId xmlns:a16="http://schemas.microsoft.com/office/drawing/2014/main" id="{C6CF0258-3105-4012-A57C-8B7D70076E64}"/>
            </a:ext>
          </a:extLst>
        </xdr:cNvPr>
        <xdr:cNvSpPr txBox="1"/>
      </xdr:nvSpPr>
      <xdr:spPr>
        <a:xfrm>
          <a:off x="8226913" y="340670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46794BB-2597-4384-AE9F-35D27472D2ED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4245 mm</a:t>
          </a:fld>
          <a:endParaRPr lang="de-DE" sz="1100"/>
        </a:p>
      </xdr:txBody>
    </xdr:sp>
    <xdr:clientData/>
  </xdr:oneCellAnchor>
  <xdr:oneCellAnchor>
    <xdr:from>
      <xdr:col>9</xdr:col>
      <xdr:colOff>496227</xdr:colOff>
      <xdr:row>8</xdr:row>
      <xdr:rowOff>103825</xdr:rowOff>
    </xdr:from>
    <xdr:ext cx="771493" cy="248851"/>
    <xdr:sp macro="" textlink="$Q$10">
      <xdr:nvSpPr>
        <xdr:cNvPr id="19" name="Textfeld 18">
          <a:extLst>
            <a:ext uri="{FF2B5EF4-FFF2-40B4-BE49-F238E27FC236}">
              <a16:creationId xmlns:a16="http://schemas.microsoft.com/office/drawing/2014/main" id="{C878CA28-B779-474C-B76E-7DFD9FE04652}"/>
            </a:ext>
          </a:extLst>
        </xdr:cNvPr>
        <xdr:cNvSpPr txBox="1"/>
      </xdr:nvSpPr>
      <xdr:spPr>
        <a:xfrm>
          <a:off x="7811427" y="315182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7AED9A8-FF3D-4DAD-8CA0-B462CC4C5F9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4128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25" name="Textfeld 24">
          <a:extLst>
            <a:ext uri="{FF2B5EF4-FFF2-40B4-BE49-F238E27FC236}">
              <a16:creationId xmlns:a16="http://schemas.microsoft.com/office/drawing/2014/main" id="{8B1B8520-1571-4D19-9A75-F376D942FF4F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10</xdr:col>
      <xdr:colOff>209550</xdr:colOff>
      <xdr:row>2</xdr:row>
      <xdr:rowOff>311127</xdr:rowOff>
    </xdr:from>
    <xdr:ext cx="929678" cy="248851"/>
    <xdr:sp macro="" textlink="$G$10">
      <xdr:nvSpPr>
        <xdr:cNvPr id="27" name="Textfeld 26">
          <a:extLst>
            <a:ext uri="{FF2B5EF4-FFF2-40B4-BE49-F238E27FC236}">
              <a16:creationId xmlns:a16="http://schemas.microsoft.com/office/drawing/2014/main" id="{00FD8657-9538-40E6-A618-C659DD55BCD5}"/>
            </a:ext>
          </a:extLst>
        </xdr:cNvPr>
        <xdr:cNvSpPr txBox="1"/>
      </xdr:nvSpPr>
      <xdr:spPr>
        <a:xfrm>
          <a:off x="7549403" y="1073127"/>
          <a:ext cx="92967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ECE85-5539-4C72-BF9D-AE0C239F30B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94,8 mm/m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33FE77C-9CE8-36E9-64A1-64CF0C93B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5BA5A56-35C2-46EB-ABD2-953991326E4B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B85CCBB-6563-40D0-9E05-7F5681876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FABE640E-37C7-4845-BCFE-F1D62346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10" name="Textfeld 9">
          <a:extLst>
            <a:ext uri="{FF2B5EF4-FFF2-40B4-BE49-F238E27FC236}">
              <a16:creationId xmlns:a16="http://schemas.microsoft.com/office/drawing/2014/main" id="{C958F16B-0CEB-4CB6-A0DD-6BC9706EA8C5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2067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11" name="Textfeld 10">
          <a:extLst>
            <a:ext uri="{FF2B5EF4-FFF2-40B4-BE49-F238E27FC236}">
              <a16:creationId xmlns:a16="http://schemas.microsoft.com/office/drawing/2014/main" id="{FBD2B852-3C4D-44AC-90DC-858B7768E133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2285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12" name="Textfeld 11">
          <a:extLst>
            <a:ext uri="{FF2B5EF4-FFF2-40B4-BE49-F238E27FC236}">
              <a16:creationId xmlns:a16="http://schemas.microsoft.com/office/drawing/2014/main" id="{06936230-8C9C-4428-B21C-28222BD4AAA7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2525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20" name="Textfeld 19">
          <a:extLst>
            <a:ext uri="{FF2B5EF4-FFF2-40B4-BE49-F238E27FC236}">
              <a16:creationId xmlns:a16="http://schemas.microsoft.com/office/drawing/2014/main" id="{91C875D8-5FB5-4A22-95D2-8672B91E7F57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3302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21" name="Textfeld 20">
          <a:extLst>
            <a:ext uri="{FF2B5EF4-FFF2-40B4-BE49-F238E27FC236}">
              <a16:creationId xmlns:a16="http://schemas.microsoft.com/office/drawing/2014/main" id="{24E635A9-FDE9-4B68-9220-EA3667EBB778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3400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771493" cy="248851"/>
    <xdr:sp macro="" textlink="$R$10">
      <xdr:nvSpPr>
        <xdr:cNvPr id="22" name="Textfeld 21">
          <a:extLst>
            <a:ext uri="{FF2B5EF4-FFF2-40B4-BE49-F238E27FC236}">
              <a16:creationId xmlns:a16="http://schemas.microsoft.com/office/drawing/2014/main" id="{CD66A6F6-4EF3-4314-B8B6-3C9EBCF77C59}"/>
            </a:ext>
          </a:extLst>
        </xdr:cNvPr>
        <xdr:cNvSpPr txBox="1"/>
      </xdr:nvSpPr>
      <xdr:spPr>
        <a:xfrm>
          <a:off x="8262715" y="344357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3694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23" name="Textfeld 22">
          <a:extLst>
            <a:ext uri="{FF2B5EF4-FFF2-40B4-BE49-F238E27FC236}">
              <a16:creationId xmlns:a16="http://schemas.microsoft.com/office/drawing/2014/main" id="{2C8F987D-AF6F-4684-850D-64BAEAEAEFB3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3498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771493" cy="248851"/>
    <xdr:sp macro="" textlink="$J$10">
      <xdr:nvSpPr>
        <xdr:cNvPr id="24" name="Textfeld 23">
          <a:extLst>
            <a:ext uri="{FF2B5EF4-FFF2-40B4-BE49-F238E27FC236}">
              <a16:creationId xmlns:a16="http://schemas.microsoft.com/office/drawing/2014/main" id="{E2FF7C95-4500-4940-A3AA-8633B0B885A4}"/>
            </a:ext>
          </a:extLst>
        </xdr:cNvPr>
        <xdr:cNvSpPr txBox="1"/>
      </xdr:nvSpPr>
      <xdr:spPr>
        <a:xfrm>
          <a:off x="7715399" y="509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3880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25" name="Textfeld 24">
          <a:extLst>
            <a:ext uri="{FF2B5EF4-FFF2-40B4-BE49-F238E27FC236}">
              <a16:creationId xmlns:a16="http://schemas.microsoft.com/office/drawing/2014/main" id="{76838E3F-1DF5-45E5-BEFE-3D5C534C715B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333854</xdr:colOff>
      <xdr:row>2</xdr:row>
      <xdr:rowOff>122272</xdr:rowOff>
    </xdr:from>
    <xdr:ext cx="706475" cy="248851"/>
    <xdr:sp macro="" textlink="$E$10">
      <xdr:nvSpPr>
        <xdr:cNvPr id="26" name="Textfeld 25">
          <a:extLst>
            <a:ext uri="{FF2B5EF4-FFF2-40B4-BE49-F238E27FC236}">
              <a16:creationId xmlns:a16="http://schemas.microsoft.com/office/drawing/2014/main" id="{4D974338-4CAD-43E9-A97B-5E3DF18004CB}"/>
            </a:ext>
          </a:extLst>
        </xdr:cNvPr>
        <xdr:cNvSpPr txBox="1"/>
      </xdr:nvSpPr>
      <xdr:spPr>
        <a:xfrm>
          <a:off x="5324954" y="884272"/>
          <a:ext cx="706475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500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28" name="Textfeld 27">
          <a:extLst>
            <a:ext uri="{FF2B5EF4-FFF2-40B4-BE49-F238E27FC236}">
              <a16:creationId xmlns:a16="http://schemas.microsoft.com/office/drawing/2014/main" id="{7945C719-F438-4468-87C0-619F3EE3D016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3500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29" name="Textfeld 28">
          <a:extLst>
            <a:ext uri="{FF2B5EF4-FFF2-40B4-BE49-F238E27FC236}">
              <a16:creationId xmlns:a16="http://schemas.microsoft.com/office/drawing/2014/main" id="{CFDAACC2-9F7E-4A64-9BF2-E61E68CA76BB}"/>
            </a:ext>
          </a:extLst>
        </xdr:cNvPr>
        <xdr:cNvSpPr txBox="1"/>
      </xdr:nvSpPr>
      <xdr:spPr>
        <a:xfrm>
          <a:off x="84187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2,6°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7A808596-18AB-41D4-A9A3-43E8C4D74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722C6003-48C3-4C15-874F-A8DCF94FCFB9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4B218E8-922B-46F6-B60E-460438458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7E8EB57-E511-4190-9F43-C85EBF8C6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6" name="Textfeld 5">
          <a:extLst>
            <a:ext uri="{FF2B5EF4-FFF2-40B4-BE49-F238E27FC236}">
              <a16:creationId xmlns:a16="http://schemas.microsoft.com/office/drawing/2014/main" id="{45F3F0DB-69B8-4351-8630-F652E15523AE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2242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C0D97F34-D653-4DC2-8B22-E22A842FD271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2461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18A4CC34-6900-4F0F-B615-F147B699639C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2700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9" name="Textfeld 8">
          <a:extLst>
            <a:ext uri="{FF2B5EF4-FFF2-40B4-BE49-F238E27FC236}">
              <a16:creationId xmlns:a16="http://schemas.microsoft.com/office/drawing/2014/main" id="{F9AA675E-D3B7-42B5-9CFF-2039452E0AE8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4108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10" name="Textfeld 9">
          <a:extLst>
            <a:ext uri="{FF2B5EF4-FFF2-40B4-BE49-F238E27FC236}">
              <a16:creationId xmlns:a16="http://schemas.microsoft.com/office/drawing/2014/main" id="{FADF1BB1-8445-49D8-A850-38862C358C59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4206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771493" cy="248851"/>
    <xdr:sp macro="" textlink="$R$10">
      <xdr:nvSpPr>
        <xdr:cNvPr id="11" name="Textfeld 10">
          <a:extLst>
            <a:ext uri="{FF2B5EF4-FFF2-40B4-BE49-F238E27FC236}">
              <a16:creationId xmlns:a16="http://schemas.microsoft.com/office/drawing/2014/main" id="{265A7C3C-DC58-49DF-A363-6F6330A84DC4}"/>
            </a:ext>
          </a:extLst>
        </xdr:cNvPr>
        <xdr:cNvSpPr txBox="1"/>
      </xdr:nvSpPr>
      <xdr:spPr>
        <a:xfrm>
          <a:off x="8262715" y="344357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4500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12" name="Textfeld 11">
          <a:extLst>
            <a:ext uri="{FF2B5EF4-FFF2-40B4-BE49-F238E27FC236}">
              <a16:creationId xmlns:a16="http://schemas.microsoft.com/office/drawing/2014/main" id="{681D30C5-AEAA-4F7B-95FD-CC0EFB8E0483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4304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771493" cy="248851"/>
    <xdr:sp macro="" textlink="$J$10">
      <xdr:nvSpPr>
        <xdr:cNvPr id="13" name="Textfeld 12">
          <a:extLst>
            <a:ext uri="{FF2B5EF4-FFF2-40B4-BE49-F238E27FC236}">
              <a16:creationId xmlns:a16="http://schemas.microsoft.com/office/drawing/2014/main" id="{ABFF05DD-9144-44F9-810C-87D13E4679F3}"/>
            </a:ext>
          </a:extLst>
        </xdr:cNvPr>
        <xdr:cNvSpPr txBox="1"/>
      </xdr:nvSpPr>
      <xdr:spPr>
        <a:xfrm>
          <a:off x="7715399" y="509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4306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4" name="Textfeld 13">
          <a:extLst>
            <a:ext uri="{FF2B5EF4-FFF2-40B4-BE49-F238E27FC236}">
              <a16:creationId xmlns:a16="http://schemas.microsoft.com/office/drawing/2014/main" id="{DF831382-EA41-46A7-BDC6-2D7FA228A5AF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333854</xdr:colOff>
      <xdr:row>2</xdr:row>
      <xdr:rowOff>122272</xdr:rowOff>
    </xdr:from>
    <xdr:ext cx="706475" cy="248851"/>
    <xdr:sp macro="" textlink="$E$10">
      <xdr:nvSpPr>
        <xdr:cNvPr id="15" name="Textfeld 14">
          <a:extLst>
            <a:ext uri="{FF2B5EF4-FFF2-40B4-BE49-F238E27FC236}">
              <a16:creationId xmlns:a16="http://schemas.microsoft.com/office/drawing/2014/main" id="{23F76AA5-16B3-4377-8A2F-94AFE64D3326}"/>
            </a:ext>
          </a:extLst>
        </xdr:cNvPr>
        <xdr:cNvSpPr txBox="1"/>
      </xdr:nvSpPr>
      <xdr:spPr>
        <a:xfrm>
          <a:off x="5324954" y="884272"/>
          <a:ext cx="706475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16" name="Textfeld 15">
          <a:extLst>
            <a:ext uri="{FF2B5EF4-FFF2-40B4-BE49-F238E27FC236}">
              <a16:creationId xmlns:a16="http://schemas.microsoft.com/office/drawing/2014/main" id="{882EA7F2-A7A1-45A7-BA7B-B3C85A2AA9D6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4306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17" name="Textfeld 16">
          <a:extLst>
            <a:ext uri="{FF2B5EF4-FFF2-40B4-BE49-F238E27FC236}">
              <a16:creationId xmlns:a16="http://schemas.microsoft.com/office/drawing/2014/main" id="{2AC5D870-3956-486C-AE2F-F81CCA464280}"/>
            </a:ext>
          </a:extLst>
        </xdr:cNvPr>
        <xdr:cNvSpPr txBox="1"/>
      </xdr:nvSpPr>
      <xdr:spPr>
        <a:xfrm>
          <a:off x="88759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2,1°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C85078E5-428C-4841-801A-265F7B90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122C26F6-43E3-4A1A-869B-F9EE3B0E42F5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6527382-DDB8-4483-97DA-EB9087D2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4239461-375F-4DFE-98B4-A802BA396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6" name="Textfeld 5">
          <a:extLst>
            <a:ext uri="{FF2B5EF4-FFF2-40B4-BE49-F238E27FC236}">
              <a16:creationId xmlns:a16="http://schemas.microsoft.com/office/drawing/2014/main" id="{F1BBCF08-602B-484A-B0F9-BDFFC16B09AB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2182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F15E7DDF-2AB1-4A27-9963-7EA98C947CE1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2400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B874B356-89AE-4782-8C34-0F7777D5347F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2640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9" name="Textfeld 8">
          <a:extLst>
            <a:ext uri="{FF2B5EF4-FFF2-40B4-BE49-F238E27FC236}">
              <a16:creationId xmlns:a16="http://schemas.microsoft.com/office/drawing/2014/main" id="{A2A49ECF-8ED5-4685-BEE0-2C1F2A8FE51C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3802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10" name="Textfeld 9">
          <a:extLst>
            <a:ext uri="{FF2B5EF4-FFF2-40B4-BE49-F238E27FC236}">
              <a16:creationId xmlns:a16="http://schemas.microsoft.com/office/drawing/2014/main" id="{851EAB8A-6875-4DC8-A642-374AD238015C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3900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771493" cy="248851"/>
    <xdr:sp macro="" textlink="$R$10">
      <xdr:nvSpPr>
        <xdr:cNvPr id="11" name="Textfeld 10">
          <a:extLst>
            <a:ext uri="{FF2B5EF4-FFF2-40B4-BE49-F238E27FC236}">
              <a16:creationId xmlns:a16="http://schemas.microsoft.com/office/drawing/2014/main" id="{D5829204-1D36-4ACC-80BA-771D4D55F659}"/>
            </a:ext>
          </a:extLst>
        </xdr:cNvPr>
        <xdr:cNvSpPr txBox="1"/>
      </xdr:nvSpPr>
      <xdr:spPr>
        <a:xfrm>
          <a:off x="8262715" y="344357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4194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12" name="Textfeld 11">
          <a:extLst>
            <a:ext uri="{FF2B5EF4-FFF2-40B4-BE49-F238E27FC236}">
              <a16:creationId xmlns:a16="http://schemas.microsoft.com/office/drawing/2014/main" id="{48B43CF7-9E5C-478C-8469-9F2EE8386EB0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3998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771493" cy="248851"/>
    <xdr:sp macro="" textlink="$J$10">
      <xdr:nvSpPr>
        <xdr:cNvPr id="13" name="Textfeld 12">
          <a:extLst>
            <a:ext uri="{FF2B5EF4-FFF2-40B4-BE49-F238E27FC236}">
              <a16:creationId xmlns:a16="http://schemas.microsoft.com/office/drawing/2014/main" id="{BE9A4CBD-EA58-44F9-8470-0A68711A194F}"/>
            </a:ext>
          </a:extLst>
        </xdr:cNvPr>
        <xdr:cNvSpPr txBox="1"/>
      </xdr:nvSpPr>
      <xdr:spPr>
        <a:xfrm>
          <a:off x="7715399" y="509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3880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4" name="Textfeld 13">
          <a:extLst>
            <a:ext uri="{FF2B5EF4-FFF2-40B4-BE49-F238E27FC236}">
              <a16:creationId xmlns:a16="http://schemas.microsoft.com/office/drawing/2014/main" id="{850BEDA0-AA6F-4ACF-A19F-99781143380C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398871</xdr:colOff>
      <xdr:row>2</xdr:row>
      <xdr:rowOff>122272</xdr:rowOff>
    </xdr:from>
    <xdr:ext cx="576440" cy="248851"/>
    <xdr:sp macro="" textlink="$E$10">
      <xdr:nvSpPr>
        <xdr:cNvPr id="15" name="Textfeld 14">
          <a:extLst>
            <a:ext uri="{FF2B5EF4-FFF2-40B4-BE49-F238E27FC236}">
              <a16:creationId xmlns:a16="http://schemas.microsoft.com/office/drawing/2014/main" id="{17E206E7-D111-485E-8D92-82D57B8D3EF1}"/>
            </a:ext>
          </a:extLst>
        </xdr:cNvPr>
        <xdr:cNvSpPr txBox="1"/>
      </xdr:nvSpPr>
      <xdr:spPr>
        <a:xfrm>
          <a:off x="5389971" y="884272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16" name="Textfeld 15">
          <a:extLst>
            <a:ext uri="{FF2B5EF4-FFF2-40B4-BE49-F238E27FC236}">
              <a16:creationId xmlns:a16="http://schemas.microsoft.com/office/drawing/2014/main" id="{469C00B4-AAD7-46FC-A783-05A273442BA9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4000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17" name="Textfeld 16">
          <a:extLst>
            <a:ext uri="{FF2B5EF4-FFF2-40B4-BE49-F238E27FC236}">
              <a16:creationId xmlns:a16="http://schemas.microsoft.com/office/drawing/2014/main" id="{615B2B7F-1249-455A-9F4F-10B8D4709301}"/>
            </a:ext>
          </a:extLst>
        </xdr:cNvPr>
        <xdr:cNvSpPr txBox="1"/>
      </xdr:nvSpPr>
      <xdr:spPr>
        <a:xfrm>
          <a:off x="88759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2,3°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D9F4CCB0-07B9-40CA-8711-C052C8309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B862CAB5-3E5A-4AD4-821E-5D6425CD68B8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0CEEA71-91E0-42C7-B208-C484E5D35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99E7C7E1-FC76-4044-80AB-668E71370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6" name="Textfeld 5">
          <a:extLst>
            <a:ext uri="{FF2B5EF4-FFF2-40B4-BE49-F238E27FC236}">
              <a16:creationId xmlns:a16="http://schemas.microsoft.com/office/drawing/2014/main" id="{F2ADA9F4-3AAD-4D45-B56F-129E698A53C8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2300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F2E36235-B010-4C80-BBD2-7D0502F24CD7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2300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DB1636F5-8673-4513-AEA6-AB031B1F0428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2542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9" name="Textfeld 8">
          <a:extLst>
            <a:ext uri="{FF2B5EF4-FFF2-40B4-BE49-F238E27FC236}">
              <a16:creationId xmlns:a16="http://schemas.microsoft.com/office/drawing/2014/main" id="{37D5E904-6862-4F54-9F08-D821C4253156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4840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10" name="Textfeld 9">
          <a:extLst>
            <a:ext uri="{FF2B5EF4-FFF2-40B4-BE49-F238E27FC236}">
              <a16:creationId xmlns:a16="http://schemas.microsoft.com/office/drawing/2014/main" id="{66CA9C63-A7BE-4678-8CC3-A08BB5881496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4920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576440" cy="248851"/>
    <xdr:sp macro="" textlink="$R$10">
      <xdr:nvSpPr>
        <xdr:cNvPr id="11" name="Textfeld 10">
          <a:extLst>
            <a:ext uri="{FF2B5EF4-FFF2-40B4-BE49-F238E27FC236}">
              <a16:creationId xmlns:a16="http://schemas.microsoft.com/office/drawing/2014/main" id="{635A43F1-FAE9-48CE-A5BC-62A54EC7A29C}"/>
            </a:ext>
          </a:extLst>
        </xdr:cNvPr>
        <xdr:cNvSpPr txBox="1"/>
      </xdr:nvSpPr>
      <xdr:spPr>
        <a:xfrm>
          <a:off x="8262715" y="3443575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0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12" name="Textfeld 11">
          <a:extLst>
            <a:ext uri="{FF2B5EF4-FFF2-40B4-BE49-F238E27FC236}">
              <a16:creationId xmlns:a16="http://schemas.microsoft.com/office/drawing/2014/main" id="{BFB5888B-F55F-4E44-B2C6-5584C13B80FE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5000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771493" cy="248851"/>
    <xdr:sp macro="" textlink="$J$10">
      <xdr:nvSpPr>
        <xdr:cNvPr id="13" name="Textfeld 12">
          <a:extLst>
            <a:ext uri="{FF2B5EF4-FFF2-40B4-BE49-F238E27FC236}">
              <a16:creationId xmlns:a16="http://schemas.microsoft.com/office/drawing/2014/main" id="{B7CF082E-679A-412D-9282-BC54FA525643}"/>
            </a:ext>
          </a:extLst>
        </xdr:cNvPr>
        <xdr:cNvSpPr txBox="1"/>
      </xdr:nvSpPr>
      <xdr:spPr>
        <a:xfrm>
          <a:off x="7715399" y="509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4916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4" name="Textfeld 13">
          <a:extLst>
            <a:ext uri="{FF2B5EF4-FFF2-40B4-BE49-F238E27FC236}">
              <a16:creationId xmlns:a16="http://schemas.microsoft.com/office/drawing/2014/main" id="{0049E8FE-5432-4E5B-B60F-CA77744B3D47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398871</xdr:colOff>
      <xdr:row>2</xdr:row>
      <xdr:rowOff>122272</xdr:rowOff>
    </xdr:from>
    <xdr:ext cx="576440" cy="248851"/>
    <xdr:sp macro="" textlink="$E$10">
      <xdr:nvSpPr>
        <xdr:cNvPr id="15" name="Textfeld 14">
          <a:extLst>
            <a:ext uri="{FF2B5EF4-FFF2-40B4-BE49-F238E27FC236}">
              <a16:creationId xmlns:a16="http://schemas.microsoft.com/office/drawing/2014/main" id="{543A719A-6F92-44FE-A0B8-84E64E331686}"/>
            </a:ext>
          </a:extLst>
        </xdr:cNvPr>
        <xdr:cNvSpPr txBox="1"/>
      </xdr:nvSpPr>
      <xdr:spPr>
        <a:xfrm>
          <a:off x="5389971" y="884272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16" name="Textfeld 15">
          <a:extLst>
            <a:ext uri="{FF2B5EF4-FFF2-40B4-BE49-F238E27FC236}">
              <a16:creationId xmlns:a16="http://schemas.microsoft.com/office/drawing/2014/main" id="{3D4C5080-DB1A-494D-BA2B-39D67B4ED23A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5000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17" name="Textfeld 16">
          <a:extLst>
            <a:ext uri="{FF2B5EF4-FFF2-40B4-BE49-F238E27FC236}">
              <a16:creationId xmlns:a16="http://schemas.microsoft.com/office/drawing/2014/main" id="{28464215-9134-4502-A3FC-8B54C21A0FCA}"/>
            </a:ext>
          </a:extLst>
        </xdr:cNvPr>
        <xdr:cNvSpPr txBox="1"/>
      </xdr:nvSpPr>
      <xdr:spPr>
        <a:xfrm>
          <a:off x="88759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1,1°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5CE99798-46A4-4FBC-849F-CC268543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B28129AA-1BC6-4B1C-BC47-C8116F931635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792DE89-EEEB-49C0-80B1-5F809DFCB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C5F10A4C-7AA1-4673-9B30-06949A4F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6" name="Textfeld 5">
          <a:extLst>
            <a:ext uri="{FF2B5EF4-FFF2-40B4-BE49-F238E27FC236}">
              <a16:creationId xmlns:a16="http://schemas.microsoft.com/office/drawing/2014/main" id="{7FADC71C-2F7B-401F-8F51-A0FD90AE0F95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2300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A88790BE-EAD3-4AAE-807E-69702C5803C5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2300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477FF557-9C0C-4A8C-95B4-0167C44EBB81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2542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9" name="Textfeld 8">
          <a:extLst>
            <a:ext uri="{FF2B5EF4-FFF2-40B4-BE49-F238E27FC236}">
              <a16:creationId xmlns:a16="http://schemas.microsoft.com/office/drawing/2014/main" id="{65C16D7B-F649-4787-B37B-43AEB8D005F6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4680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10" name="Textfeld 9">
          <a:extLst>
            <a:ext uri="{FF2B5EF4-FFF2-40B4-BE49-F238E27FC236}">
              <a16:creationId xmlns:a16="http://schemas.microsoft.com/office/drawing/2014/main" id="{225658A4-36B4-4CF9-9034-E97CE32FA860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4760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771493" cy="248851"/>
    <xdr:sp macro="" textlink="$R$10">
      <xdr:nvSpPr>
        <xdr:cNvPr id="11" name="Textfeld 10">
          <a:extLst>
            <a:ext uri="{FF2B5EF4-FFF2-40B4-BE49-F238E27FC236}">
              <a16:creationId xmlns:a16="http://schemas.microsoft.com/office/drawing/2014/main" id="{87F2BE63-3DA0-4A66-9F83-0175A057B3A6}"/>
            </a:ext>
          </a:extLst>
        </xdr:cNvPr>
        <xdr:cNvSpPr txBox="1"/>
      </xdr:nvSpPr>
      <xdr:spPr>
        <a:xfrm>
          <a:off x="7805515" y="344357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5000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12" name="Textfeld 11">
          <a:extLst>
            <a:ext uri="{FF2B5EF4-FFF2-40B4-BE49-F238E27FC236}">
              <a16:creationId xmlns:a16="http://schemas.microsoft.com/office/drawing/2014/main" id="{29235CAE-5408-4F49-994D-60047D418061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4840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771493" cy="248851"/>
    <xdr:sp macro="" textlink="$J$10">
      <xdr:nvSpPr>
        <xdr:cNvPr id="13" name="Textfeld 12">
          <a:extLst>
            <a:ext uri="{FF2B5EF4-FFF2-40B4-BE49-F238E27FC236}">
              <a16:creationId xmlns:a16="http://schemas.microsoft.com/office/drawing/2014/main" id="{6C2D9334-6384-4175-8C82-ED12B8CDE016}"/>
            </a:ext>
          </a:extLst>
        </xdr:cNvPr>
        <xdr:cNvSpPr txBox="1"/>
      </xdr:nvSpPr>
      <xdr:spPr>
        <a:xfrm>
          <a:off x="7715399" y="509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4874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4" name="Textfeld 13">
          <a:extLst>
            <a:ext uri="{FF2B5EF4-FFF2-40B4-BE49-F238E27FC236}">
              <a16:creationId xmlns:a16="http://schemas.microsoft.com/office/drawing/2014/main" id="{AD0371A9-D29B-4352-9787-DA71D687B936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398871</xdr:colOff>
      <xdr:row>2</xdr:row>
      <xdr:rowOff>122272</xdr:rowOff>
    </xdr:from>
    <xdr:ext cx="576440" cy="248851"/>
    <xdr:sp macro="" textlink="$E$10">
      <xdr:nvSpPr>
        <xdr:cNvPr id="15" name="Textfeld 14">
          <a:extLst>
            <a:ext uri="{FF2B5EF4-FFF2-40B4-BE49-F238E27FC236}">
              <a16:creationId xmlns:a16="http://schemas.microsoft.com/office/drawing/2014/main" id="{558F9129-DBF5-4870-BC8A-404C4A2CF4BC}"/>
            </a:ext>
          </a:extLst>
        </xdr:cNvPr>
        <xdr:cNvSpPr txBox="1"/>
      </xdr:nvSpPr>
      <xdr:spPr>
        <a:xfrm>
          <a:off x="5389971" y="884272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16" name="Textfeld 15">
          <a:extLst>
            <a:ext uri="{FF2B5EF4-FFF2-40B4-BE49-F238E27FC236}">
              <a16:creationId xmlns:a16="http://schemas.microsoft.com/office/drawing/2014/main" id="{C6BA1091-0B36-4A41-A6A7-FC04F7397204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4840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17" name="Textfeld 16">
          <a:extLst>
            <a:ext uri="{FF2B5EF4-FFF2-40B4-BE49-F238E27FC236}">
              <a16:creationId xmlns:a16="http://schemas.microsoft.com/office/drawing/2014/main" id="{93BF1573-665E-4378-B19E-8F7AA23A0FCD}"/>
            </a:ext>
          </a:extLst>
        </xdr:cNvPr>
        <xdr:cNvSpPr txBox="1"/>
      </xdr:nvSpPr>
      <xdr:spPr>
        <a:xfrm>
          <a:off x="88759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1,1°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599F3904-FB05-4174-ACAF-2951E7133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3283C83B-A734-4CA6-99C3-27EB6B2F33DA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88BE8A01-FFD4-413F-BD1C-D9D06609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9C559E2-D804-4887-8764-A06FFF95C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6" name="Textfeld 5">
          <a:extLst>
            <a:ext uri="{FF2B5EF4-FFF2-40B4-BE49-F238E27FC236}">
              <a16:creationId xmlns:a16="http://schemas.microsoft.com/office/drawing/2014/main" id="{88E032F2-EEB1-4ED2-8E3D-638E2F2BEC0B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2300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68411B0E-B6A0-4E0A-84D2-CC6477EC9F3F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2300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1532EA68-D4CA-48BA-9279-63BA65A1CEB0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2542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9" name="Textfeld 8">
          <a:extLst>
            <a:ext uri="{FF2B5EF4-FFF2-40B4-BE49-F238E27FC236}">
              <a16:creationId xmlns:a16="http://schemas.microsoft.com/office/drawing/2014/main" id="{80D83DA6-08AE-4DE0-BB66-176D5A2DA56D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4840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10" name="Textfeld 9">
          <a:extLst>
            <a:ext uri="{FF2B5EF4-FFF2-40B4-BE49-F238E27FC236}">
              <a16:creationId xmlns:a16="http://schemas.microsoft.com/office/drawing/2014/main" id="{0745DB9A-718E-493B-BC33-C8B3E40CC864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4920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576440" cy="248851"/>
    <xdr:sp macro="" textlink="$R$10">
      <xdr:nvSpPr>
        <xdr:cNvPr id="11" name="Textfeld 10">
          <a:extLst>
            <a:ext uri="{FF2B5EF4-FFF2-40B4-BE49-F238E27FC236}">
              <a16:creationId xmlns:a16="http://schemas.microsoft.com/office/drawing/2014/main" id="{D35D59F8-E4FA-440A-BC75-82BA94D46145}"/>
            </a:ext>
          </a:extLst>
        </xdr:cNvPr>
        <xdr:cNvSpPr txBox="1"/>
      </xdr:nvSpPr>
      <xdr:spPr>
        <a:xfrm>
          <a:off x="7805515" y="3443575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0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12" name="Textfeld 11">
          <a:extLst>
            <a:ext uri="{FF2B5EF4-FFF2-40B4-BE49-F238E27FC236}">
              <a16:creationId xmlns:a16="http://schemas.microsoft.com/office/drawing/2014/main" id="{B828077C-B00A-4CBD-A4F4-5A1FB3C5F863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5000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576440" cy="248851"/>
    <xdr:sp macro="" textlink="$J$10">
      <xdr:nvSpPr>
        <xdr:cNvPr id="13" name="Textfeld 12">
          <a:extLst>
            <a:ext uri="{FF2B5EF4-FFF2-40B4-BE49-F238E27FC236}">
              <a16:creationId xmlns:a16="http://schemas.microsoft.com/office/drawing/2014/main" id="{FC5832DA-172B-4314-95C3-1AAAFFC804B0}"/>
            </a:ext>
          </a:extLst>
        </xdr:cNvPr>
        <xdr:cNvSpPr txBox="1"/>
      </xdr:nvSpPr>
      <xdr:spPr>
        <a:xfrm>
          <a:off x="7258199" y="5099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0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4" name="Textfeld 13">
          <a:extLst>
            <a:ext uri="{FF2B5EF4-FFF2-40B4-BE49-F238E27FC236}">
              <a16:creationId xmlns:a16="http://schemas.microsoft.com/office/drawing/2014/main" id="{94B666D1-C94F-413F-B287-66CEDC644D31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398871</xdr:colOff>
      <xdr:row>2</xdr:row>
      <xdr:rowOff>122272</xdr:rowOff>
    </xdr:from>
    <xdr:ext cx="576440" cy="248851"/>
    <xdr:sp macro="" textlink="$E$10">
      <xdr:nvSpPr>
        <xdr:cNvPr id="15" name="Textfeld 14">
          <a:extLst>
            <a:ext uri="{FF2B5EF4-FFF2-40B4-BE49-F238E27FC236}">
              <a16:creationId xmlns:a16="http://schemas.microsoft.com/office/drawing/2014/main" id="{C5446E99-2AA7-43D0-A06C-F9942CD43053}"/>
            </a:ext>
          </a:extLst>
        </xdr:cNvPr>
        <xdr:cNvSpPr txBox="1"/>
      </xdr:nvSpPr>
      <xdr:spPr>
        <a:xfrm>
          <a:off x="5389971" y="884272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16" name="Textfeld 15">
          <a:extLst>
            <a:ext uri="{FF2B5EF4-FFF2-40B4-BE49-F238E27FC236}">
              <a16:creationId xmlns:a16="http://schemas.microsoft.com/office/drawing/2014/main" id="{2B98177F-22D9-4E39-88F8-52507F03C6ED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5000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17" name="Textfeld 16">
          <a:extLst>
            <a:ext uri="{FF2B5EF4-FFF2-40B4-BE49-F238E27FC236}">
              <a16:creationId xmlns:a16="http://schemas.microsoft.com/office/drawing/2014/main" id="{AD007C82-2E20-4C5B-8369-EA7075A75731}"/>
            </a:ext>
          </a:extLst>
        </xdr:cNvPr>
        <xdr:cNvSpPr txBox="1"/>
      </xdr:nvSpPr>
      <xdr:spPr>
        <a:xfrm>
          <a:off x="88759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0,3°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D7E8C530-60DA-41B2-AB3C-A02FAC2DD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116115</xdr:colOff>
      <xdr:row>5</xdr:row>
      <xdr:rowOff>82325</xdr:rowOff>
    </xdr:from>
    <xdr:to>
      <xdr:col>5</xdr:col>
      <xdr:colOff>257743</xdr:colOff>
      <xdr:row>5</xdr:row>
      <xdr:rowOff>82325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3C18CF47-9ADB-4920-9CB0-078E19455866}"/>
            </a:ext>
          </a:extLst>
        </xdr:cNvPr>
        <xdr:cNvCxnSpPr/>
      </xdr:nvCxnSpPr>
      <xdr:spPr>
        <a:xfrm>
          <a:off x="3335565" y="1987325"/>
          <a:ext cx="191327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59417</xdr:colOff>
      <xdr:row>0</xdr:row>
      <xdr:rowOff>52161</xdr:rowOff>
    </xdr:from>
    <xdr:to>
      <xdr:col>14</xdr:col>
      <xdr:colOff>546865</xdr:colOff>
      <xdr:row>9</xdr:row>
      <xdr:rowOff>280761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48FBB18-D77E-465D-81C9-5B4E8013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42" y="52161"/>
          <a:ext cx="5135648" cy="3657600"/>
        </a:xfrm>
        <a:prstGeom prst="rect">
          <a:avLst/>
        </a:prstGeom>
      </xdr:spPr>
    </xdr:pic>
    <xdr:clientData/>
  </xdr:twoCellAnchor>
  <xdr:twoCellAnchor editAs="oneCell">
    <xdr:from>
      <xdr:col>3</xdr:col>
      <xdr:colOff>408669</xdr:colOff>
      <xdr:row>3</xdr:row>
      <xdr:rowOff>328387</xdr:rowOff>
    </xdr:from>
    <xdr:to>
      <xdr:col>4</xdr:col>
      <xdr:colOff>354449</xdr:colOff>
      <xdr:row>4</xdr:row>
      <xdr:rowOff>360394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71A1747-E67A-4F99-A4A9-97428072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3628119" y="1471387"/>
          <a:ext cx="564905" cy="413007"/>
        </a:xfrm>
        <a:prstGeom prst="rect">
          <a:avLst/>
        </a:prstGeom>
      </xdr:spPr>
    </xdr:pic>
    <xdr:clientData/>
  </xdr:twoCellAnchor>
  <xdr:oneCellAnchor>
    <xdr:from>
      <xdr:col>7</xdr:col>
      <xdr:colOff>18092</xdr:colOff>
      <xdr:row>2</xdr:row>
      <xdr:rowOff>286478</xdr:rowOff>
    </xdr:from>
    <xdr:ext cx="248851" cy="771494"/>
    <xdr:sp macro="" textlink="$B$10">
      <xdr:nvSpPr>
        <xdr:cNvPr id="6" name="Textfeld 5">
          <a:extLst>
            <a:ext uri="{FF2B5EF4-FFF2-40B4-BE49-F238E27FC236}">
              <a16:creationId xmlns:a16="http://schemas.microsoft.com/office/drawing/2014/main" id="{21C23645-165A-43C2-9167-322B495ECF0F}"/>
            </a:ext>
          </a:extLst>
        </xdr:cNvPr>
        <xdr:cNvSpPr txBox="1"/>
      </xdr:nvSpPr>
      <xdr:spPr>
        <a:xfrm rot="16200000">
          <a:off x="5909921" y="1309799"/>
          <a:ext cx="771494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fld id="{A48B6EFA-2EA0-47BF-82F3-BE26F71FE157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= 2300 mm</a:t>
          </a:fld>
          <a:endParaRPr lang="de-DE" sz="1100"/>
        </a:p>
      </xdr:txBody>
    </xdr:sp>
    <xdr:clientData/>
  </xdr:oneCellAnchor>
  <xdr:oneCellAnchor>
    <xdr:from>
      <xdr:col>12</xdr:col>
      <xdr:colOff>397589</xdr:colOff>
      <xdr:row>2</xdr:row>
      <xdr:rowOff>230368</xdr:rowOff>
    </xdr:from>
    <xdr:ext cx="248851" cy="771493"/>
    <xdr:sp macro="" textlink="$D$10">
      <xdr:nvSpPr>
        <xdr:cNvPr id="7" name="Textfeld 6">
          <a:extLst>
            <a:ext uri="{FF2B5EF4-FFF2-40B4-BE49-F238E27FC236}">
              <a16:creationId xmlns:a16="http://schemas.microsoft.com/office/drawing/2014/main" id="{577CDD5E-A85B-4D11-9F84-BD618A2401FE}"/>
            </a:ext>
          </a:extLst>
        </xdr:cNvPr>
        <xdr:cNvSpPr txBox="1"/>
      </xdr:nvSpPr>
      <xdr:spPr>
        <a:xfrm rot="16200000">
          <a:off x="9194543" y="1253689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F31BD860-3AF3-4F15-81D0-638CD5D56983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2300 mm</a:t>
          </a:fld>
          <a:endParaRPr lang="de-DE" sz="1100"/>
        </a:p>
      </xdr:txBody>
    </xdr:sp>
    <xdr:clientData/>
  </xdr:oneCellAnchor>
  <xdr:oneCellAnchor>
    <xdr:from>
      <xdr:col>13</xdr:col>
      <xdr:colOff>66117</xdr:colOff>
      <xdr:row>2</xdr:row>
      <xdr:rowOff>227360</xdr:rowOff>
    </xdr:from>
    <xdr:ext cx="248851" cy="771493"/>
    <xdr:sp macro="" textlink="$P$10">
      <xdr:nvSpPr>
        <xdr:cNvPr id="8" name="Textfeld 7">
          <a:extLst>
            <a:ext uri="{FF2B5EF4-FFF2-40B4-BE49-F238E27FC236}">
              <a16:creationId xmlns:a16="http://schemas.microsoft.com/office/drawing/2014/main" id="{DDFBF2F3-98C6-46CF-98D8-E9F92CB22E51}"/>
            </a:ext>
          </a:extLst>
        </xdr:cNvPr>
        <xdr:cNvSpPr txBox="1"/>
      </xdr:nvSpPr>
      <xdr:spPr>
        <a:xfrm rot="16200000">
          <a:off x="9444096" y="1250681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5B11573-DB53-425D-8788-4E72BF83889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2542 mm</a:t>
          </a:fld>
          <a:endParaRPr lang="de-DE" sz="1100"/>
        </a:p>
      </xdr:txBody>
    </xdr:sp>
    <xdr:clientData/>
  </xdr:oneCellAnchor>
  <xdr:oneCellAnchor>
    <xdr:from>
      <xdr:col>9</xdr:col>
      <xdr:colOff>508378</xdr:colOff>
      <xdr:row>6</xdr:row>
      <xdr:rowOff>333827</xdr:rowOff>
    </xdr:from>
    <xdr:ext cx="771493" cy="248851"/>
    <xdr:sp macro="" textlink="$O$10">
      <xdr:nvSpPr>
        <xdr:cNvPr id="9" name="Textfeld 8">
          <a:extLst>
            <a:ext uri="{FF2B5EF4-FFF2-40B4-BE49-F238E27FC236}">
              <a16:creationId xmlns:a16="http://schemas.microsoft.com/office/drawing/2014/main" id="{48F1AF4D-A83B-4580-BC9C-639C6DB5C508}"/>
            </a:ext>
          </a:extLst>
        </xdr:cNvPr>
        <xdr:cNvSpPr txBox="1"/>
      </xdr:nvSpPr>
      <xdr:spPr>
        <a:xfrm>
          <a:off x="7823578" y="2619827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211F13-3E03-4B37-860F-E8FBEE4AAD40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4680 mm</a:t>
          </a:fld>
          <a:endParaRPr lang="de-DE" sz="1100"/>
        </a:p>
      </xdr:txBody>
    </xdr:sp>
    <xdr:clientData/>
  </xdr:oneCellAnchor>
  <xdr:oneCellAnchor>
    <xdr:from>
      <xdr:col>10</xdr:col>
      <xdr:colOff>319193</xdr:colOff>
      <xdr:row>7</xdr:row>
      <xdr:rowOff>249744</xdr:rowOff>
    </xdr:from>
    <xdr:ext cx="771493" cy="248851"/>
    <xdr:sp macro="" textlink="$I$10">
      <xdr:nvSpPr>
        <xdr:cNvPr id="10" name="Textfeld 9">
          <a:extLst>
            <a:ext uri="{FF2B5EF4-FFF2-40B4-BE49-F238E27FC236}">
              <a16:creationId xmlns:a16="http://schemas.microsoft.com/office/drawing/2014/main" id="{57E1429D-0D74-4AA3-B4E2-40108C3679D1}"/>
            </a:ext>
          </a:extLst>
        </xdr:cNvPr>
        <xdr:cNvSpPr txBox="1"/>
      </xdr:nvSpPr>
      <xdr:spPr>
        <a:xfrm>
          <a:off x="8215418" y="291674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88D5B1C-AAF5-4C24-B1D9-4471532FBEB4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4760 mm</a:t>
          </a:fld>
          <a:endParaRPr lang="de-DE" sz="1100"/>
        </a:p>
      </xdr:txBody>
    </xdr:sp>
    <xdr:clientData/>
  </xdr:oneCellAnchor>
  <xdr:oneCellAnchor>
    <xdr:from>
      <xdr:col>10</xdr:col>
      <xdr:colOff>366490</xdr:colOff>
      <xdr:row>9</xdr:row>
      <xdr:rowOff>14575</xdr:rowOff>
    </xdr:from>
    <xdr:ext cx="771493" cy="248851"/>
    <xdr:sp macro="" textlink="$R$10">
      <xdr:nvSpPr>
        <xdr:cNvPr id="11" name="Textfeld 10">
          <a:extLst>
            <a:ext uri="{FF2B5EF4-FFF2-40B4-BE49-F238E27FC236}">
              <a16:creationId xmlns:a16="http://schemas.microsoft.com/office/drawing/2014/main" id="{C006AFA1-04F3-4852-8A34-6E71B469A2FC}"/>
            </a:ext>
          </a:extLst>
        </xdr:cNvPr>
        <xdr:cNvSpPr txBox="1"/>
      </xdr:nvSpPr>
      <xdr:spPr>
        <a:xfrm>
          <a:off x="7824565" y="3443575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9D07301-5CA6-4327-82B7-34BECECBFDDA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5000 mm</a:t>
          </a:fld>
          <a:endParaRPr lang="de-DE" sz="1100"/>
        </a:p>
      </xdr:txBody>
    </xdr:sp>
    <xdr:clientData/>
  </xdr:oneCellAnchor>
  <xdr:oneCellAnchor>
    <xdr:from>
      <xdr:col>9</xdr:col>
      <xdr:colOff>505752</xdr:colOff>
      <xdr:row>8</xdr:row>
      <xdr:rowOff>120994</xdr:rowOff>
    </xdr:from>
    <xdr:ext cx="771493" cy="248851"/>
    <xdr:sp macro="" textlink="$Q$10">
      <xdr:nvSpPr>
        <xdr:cNvPr id="12" name="Textfeld 11">
          <a:extLst>
            <a:ext uri="{FF2B5EF4-FFF2-40B4-BE49-F238E27FC236}">
              <a16:creationId xmlns:a16="http://schemas.microsoft.com/office/drawing/2014/main" id="{85699948-61A6-4D24-BA6E-C872AD4C3167}"/>
            </a:ext>
          </a:extLst>
        </xdr:cNvPr>
        <xdr:cNvSpPr txBox="1"/>
      </xdr:nvSpPr>
      <xdr:spPr>
        <a:xfrm>
          <a:off x="7820952" y="3168994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444D694-EE86-48EE-B6DD-B721F81A6BEE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4840 mm</a:t>
          </a:fld>
          <a:endParaRPr lang="de-DE" sz="1100"/>
        </a:p>
      </xdr:txBody>
    </xdr:sp>
    <xdr:clientData/>
  </xdr:oneCellAnchor>
  <xdr:oneCellAnchor>
    <xdr:from>
      <xdr:col>9</xdr:col>
      <xdr:colOff>400199</xdr:colOff>
      <xdr:row>0</xdr:row>
      <xdr:rowOff>5099</xdr:rowOff>
    </xdr:from>
    <xdr:ext cx="576440" cy="248851"/>
    <xdr:sp macro="" textlink="$J$10">
      <xdr:nvSpPr>
        <xdr:cNvPr id="13" name="Textfeld 12">
          <a:extLst>
            <a:ext uri="{FF2B5EF4-FFF2-40B4-BE49-F238E27FC236}">
              <a16:creationId xmlns:a16="http://schemas.microsoft.com/office/drawing/2014/main" id="{1982E2DA-954A-4723-A3B1-E35929EED4B2}"/>
            </a:ext>
          </a:extLst>
        </xdr:cNvPr>
        <xdr:cNvSpPr txBox="1"/>
      </xdr:nvSpPr>
      <xdr:spPr>
        <a:xfrm>
          <a:off x="7715399" y="5099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4C2615BD-4F0D-4D1B-A5AE-D91173F4288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0 mm</a:t>
          </a:fld>
          <a:endParaRPr lang="de-DE" sz="1100"/>
        </a:p>
      </xdr:txBody>
    </xdr:sp>
    <xdr:clientData/>
  </xdr:oneCellAnchor>
  <xdr:oneCellAnchor>
    <xdr:from>
      <xdr:col>15</xdr:col>
      <xdr:colOff>372746</xdr:colOff>
      <xdr:row>0</xdr:row>
      <xdr:rowOff>260548</xdr:rowOff>
    </xdr:from>
    <xdr:ext cx="216534" cy="264560"/>
    <xdr:sp macro="" textlink="$L$180">
      <xdr:nvSpPr>
        <xdr:cNvPr id="14" name="Textfeld 13">
          <a:extLst>
            <a:ext uri="{FF2B5EF4-FFF2-40B4-BE49-F238E27FC236}">
              <a16:creationId xmlns:a16="http://schemas.microsoft.com/office/drawing/2014/main" id="{CED710B3-882A-444A-98DC-8953E3E0E4AB}"/>
            </a:ext>
          </a:extLst>
        </xdr:cNvPr>
        <xdr:cNvSpPr txBox="1"/>
      </xdr:nvSpPr>
      <xdr:spPr>
        <a:xfrm>
          <a:off x="11174096" y="260548"/>
          <a:ext cx="21653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90C8752C-2FE4-4B43-8DA7-C002DB3CA8A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</a:t>
          </a:fld>
          <a:endParaRPr lang="de-DE" sz="1100"/>
        </a:p>
      </xdr:txBody>
    </xdr:sp>
    <xdr:clientData/>
  </xdr:oneCellAnchor>
  <xdr:oneCellAnchor>
    <xdr:from>
      <xdr:col>5</xdr:col>
      <xdr:colOff>398871</xdr:colOff>
      <xdr:row>2</xdr:row>
      <xdr:rowOff>122272</xdr:rowOff>
    </xdr:from>
    <xdr:ext cx="576440" cy="248851"/>
    <xdr:sp macro="" textlink="$E$10">
      <xdr:nvSpPr>
        <xdr:cNvPr id="15" name="Textfeld 14">
          <a:extLst>
            <a:ext uri="{FF2B5EF4-FFF2-40B4-BE49-F238E27FC236}">
              <a16:creationId xmlns:a16="http://schemas.microsoft.com/office/drawing/2014/main" id="{0A9F2F89-9FCF-45D6-BAA2-A1E3618F9C3F}"/>
            </a:ext>
          </a:extLst>
        </xdr:cNvPr>
        <xdr:cNvSpPr txBox="1"/>
      </xdr:nvSpPr>
      <xdr:spPr>
        <a:xfrm>
          <a:off x="5389971" y="884272"/>
          <a:ext cx="57644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86A3FA3-3596-46E3-A8E7-1331E83A389B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 mm =</a:t>
          </a:fld>
          <a:endParaRPr lang="de-DE" sz="1100"/>
        </a:p>
      </xdr:txBody>
    </xdr:sp>
    <xdr:clientData/>
  </xdr:oneCellAnchor>
  <xdr:oneCellAnchor>
    <xdr:from>
      <xdr:col>10</xdr:col>
      <xdr:colOff>94032</xdr:colOff>
      <xdr:row>0</xdr:row>
      <xdr:rowOff>240513</xdr:rowOff>
    </xdr:from>
    <xdr:ext cx="771493" cy="248851"/>
    <xdr:sp macro="" textlink="$L$10">
      <xdr:nvSpPr>
        <xdr:cNvPr id="16" name="Textfeld 15">
          <a:extLst>
            <a:ext uri="{FF2B5EF4-FFF2-40B4-BE49-F238E27FC236}">
              <a16:creationId xmlns:a16="http://schemas.microsoft.com/office/drawing/2014/main" id="{7A9D387F-6CD9-4060-8316-7A661BE93352}"/>
            </a:ext>
          </a:extLst>
        </xdr:cNvPr>
        <xdr:cNvSpPr txBox="1"/>
      </xdr:nvSpPr>
      <xdr:spPr>
        <a:xfrm>
          <a:off x="7990257" y="240513"/>
          <a:ext cx="771493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E16A52A-C0D7-4CA5-89DB-74E2AF1ADD2C}" type="TxLink">
            <a:rPr lang="en-US" sz="10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4840 mm</a:t>
          </a:fld>
          <a:endParaRPr lang="de-DE" sz="1100"/>
        </a:p>
      </xdr:txBody>
    </xdr:sp>
    <xdr:clientData/>
  </xdr:oneCellAnchor>
  <xdr:oneCellAnchor>
    <xdr:from>
      <xdr:col>11</xdr:col>
      <xdr:colOff>398676</xdr:colOff>
      <xdr:row>1</xdr:row>
      <xdr:rowOff>366395</xdr:rowOff>
    </xdr:from>
    <xdr:ext cx="423321" cy="217560"/>
    <xdr:sp macro="" textlink="$H$10">
      <xdr:nvSpPr>
        <xdr:cNvPr id="17" name="Textfeld 16">
          <a:extLst>
            <a:ext uri="{FF2B5EF4-FFF2-40B4-BE49-F238E27FC236}">
              <a16:creationId xmlns:a16="http://schemas.microsoft.com/office/drawing/2014/main" id="{E20E5A1F-2DAE-43F2-A695-A3891F98B628}"/>
            </a:ext>
          </a:extLst>
        </xdr:cNvPr>
        <xdr:cNvSpPr txBox="1"/>
      </xdr:nvSpPr>
      <xdr:spPr>
        <a:xfrm>
          <a:off x="8875926" y="747395"/>
          <a:ext cx="42332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C23F5FC4-9EE7-442A-928E-3ED33B39C512}" type="TxLink">
            <a:rPr lang="en-US" sz="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= 0,3°</a:t>
          </a:fld>
          <a:endParaRPr lang="de-DE" sz="1100"/>
        </a:p>
      </xdr:txBody>
    </xdr:sp>
    <xdr:clientData/>
  </xdr:oneCellAnchor>
  <xdr:twoCellAnchor editAs="oneCell">
    <xdr:from>
      <xdr:col>0</xdr:col>
      <xdr:colOff>95250</xdr:colOff>
      <xdr:row>0</xdr:row>
      <xdr:rowOff>85725</xdr:rowOff>
    </xdr:from>
    <xdr:to>
      <xdr:col>3</xdr:col>
      <xdr:colOff>161925</xdr:colOff>
      <xdr:row>2</xdr:row>
      <xdr:rowOff>69189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BEBEE587-6BFF-47C5-93BA-283F261E1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1480910</xdr:colOff>
      <xdr:row>5</xdr:row>
      <xdr:rowOff>44224</xdr:rowOff>
    </xdr:from>
    <xdr:to>
      <xdr:col>3</xdr:col>
      <xdr:colOff>170656</xdr:colOff>
      <xdr:row>5</xdr:row>
      <xdr:rowOff>44224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5DF5D160-9B3C-B31C-5E55-BA5724C6DA16}"/>
            </a:ext>
          </a:extLst>
        </xdr:cNvPr>
        <xdr:cNvCxnSpPr/>
      </xdr:nvCxnSpPr>
      <xdr:spPr>
        <a:xfrm>
          <a:off x="1480910" y="1949224"/>
          <a:ext cx="1778567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424221</xdr:colOff>
      <xdr:row>0</xdr:row>
      <xdr:rowOff>102397</xdr:rowOff>
    </xdr:from>
    <xdr:to>
      <xdr:col>11</xdr:col>
      <xdr:colOff>293232</xdr:colOff>
      <xdr:row>9</xdr:row>
      <xdr:rowOff>329458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17B202D-4304-A0B8-8353-41EDAC4B4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7935" y="102397"/>
          <a:ext cx="5175797" cy="3656061"/>
        </a:xfrm>
        <a:prstGeom prst="rect">
          <a:avLst/>
        </a:prstGeom>
      </xdr:spPr>
    </xdr:pic>
    <xdr:clientData/>
  </xdr:twoCellAnchor>
  <xdr:twoCellAnchor editAs="oneCell">
    <xdr:from>
      <xdr:col>11</xdr:col>
      <xdr:colOff>335642</xdr:colOff>
      <xdr:row>0</xdr:row>
      <xdr:rowOff>99786</xdr:rowOff>
    </xdr:from>
    <xdr:to>
      <xdr:col>20</xdr:col>
      <xdr:colOff>242065</xdr:colOff>
      <xdr:row>9</xdr:row>
      <xdr:rowOff>328386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1CF846C-2080-4298-BD29-5E06C0D60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5642" y="99786"/>
          <a:ext cx="5376493" cy="36576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1773464</xdr:colOff>
      <xdr:row>3</xdr:row>
      <xdr:rowOff>290286</xdr:rowOff>
    </xdr:from>
    <xdr:to>
      <xdr:col>1</xdr:col>
      <xdr:colOff>422667</xdr:colOff>
      <xdr:row>4</xdr:row>
      <xdr:rowOff>322293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F60F0A07-C373-4AD0-A948-14C75F6B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5F5F5"/>
            </a:clrFrom>
            <a:clrTo>
              <a:srgbClr val="F5F5F5">
                <a:alpha val="0"/>
              </a:srgbClr>
            </a:clrTo>
          </a:clrChange>
        </a:blip>
        <a:stretch>
          <a:fillRect/>
        </a:stretch>
      </xdr:blipFill>
      <xdr:spPr>
        <a:xfrm rot="20964620">
          <a:off x="1773464" y="1433286"/>
          <a:ext cx="567810" cy="413007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85725</xdr:rowOff>
    </xdr:from>
    <xdr:to>
      <xdr:col>3</xdr:col>
      <xdr:colOff>304800</xdr:colOff>
      <xdr:row>2</xdr:row>
      <xdr:rowOff>69189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70E3B1B-DFF2-411B-8017-E1FAC3B1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85725"/>
          <a:ext cx="3286125" cy="7454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2</xdr:row>
      <xdr:rowOff>114300</xdr:rowOff>
    </xdr:from>
    <xdr:to>
      <xdr:col>4</xdr:col>
      <xdr:colOff>85725</xdr:colOff>
      <xdr:row>4</xdr:row>
      <xdr:rowOff>104775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2283F0AE-7100-3BC2-E40C-8C48FBC64032}"/>
            </a:ext>
          </a:extLst>
        </xdr:cNvPr>
        <xdr:cNvSpPr/>
      </xdr:nvSpPr>
      <xdr:spPr>
        <a:xfrm>
          <a:off x="2200275" y="504825"/>
          <a:ext cx="9334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 editAs="oneCell">
    <xdr:from>
      <xdr:col>1</xdr:col>
      <xdr:colOff>19050</xdr:colOff>
      <xdr:row>9</xdr:row>
      <xdr:rowOff>76200</xdr:rowOff>
    </xdr:from>
    <xdr:to>
      <xdr:col>4</xdr:col>
      <xdr:colOff>352098</xdr:colOff>
      <xdr:row>20</xdr:row>
      <xdr:rowOff>114033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2190A95-B544-3542-DEF4-59891FD8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809750"/>
          <a:ext cx="2619048" cy="21333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76201</xdr:rowOff>
    </xdr:from>
    <xdr:to>
      <xdr:col>2</xdr:col>
      <xdr:colOff>209551</xdr:colOff>
      <xdr:row>2</xdr:row>
      <xdr:rowOff>101424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1DC29D8-2CD9-4B4C-9FE9-41A042A2D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76201"/>
          <a:ext cx="1790700" cy="406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CDB8-92EE-461E-BD67-2EE103CE6762}">
  <sheetPr>
    <tabColor rgb="FFFFDA65"/>
    <pageSetUpPr fitToPage="1"/>
  </sheetPr>
  <dimension ref="A1:Y100"/>
  <sheetViews>
    <sheetView windowProtection="1" tabSelected="1" zoomScale="85" zoomScaleNormal="85" zoomScaleSheetLayoutView="85" workbookViewId="0">
      <selection activeCell="F20" sqref="F20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thickBot="1" x14ac:dyDescent="0.25">
      <c r="A3" s="75"/>
      <c r="U3" s="72"/>
      <c r="V3" s="72"/>
      <c r="W3" s="76"/>
    </row>
    <row r="4" spans="1:25" s="74" customFormat="1" ht="30" customHeight="1" x14ac:dyDescent="0.2">
      <c r="A4" s="75"/>
      <c r="U4" s="170" t="str">
        <f>HLOOKUP(W2,Daten!$AC$1:$AE$30,Daten!AB29,0)</f>
        <v>Wandprofil</v>
      </c>
      <c r="V4" s="171"/>
      <c r="W4" s="172"/>
    </row>
    <row r="5" spans="1:25" s="74" customFormat="1" ht="30" customHeight="1" thickBot="1" x14ac:dyDescent="0.25">
      <c r="A5" s="75"/>
      <c r="U5" s="167" t="s">
        <v>99</v>
      </c>
      <c r="V5" s="168"/>
      <c r="W5" s="169"/>
    </row>
    <row r="6" spans="1:25" s="74" customFormat="1" ht="30" customHeight="1" x14ac:dyDescent="0.2">
      <c r="A6" s="75"/>
      <c r="U6" s="153" t="str">
        <f>HLOOKUP(W2,Daten!$AC$1:$AE$30,Daten!AB30,0)</f>
        <v>Standard</v>
      </c>
      <c r="V6" s="153" t="str">
        <f>HLOOKUP(W2,Daten!$AC$1:$AE$31,Daten!AB31,0)</f>
        <v>XL</v>
      </c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2400 mm</v>
      </c>
      <c r="C10" s="82" t="str">
        <f>IFERROR(IF(C18="-","= 0 mm","= " &amp; TEXT(C18,"#")&amp;" mm"),"")</f>
        <v>= 5000 mm</v>
      </c>
      <c r="D10" s="82" t="str">
        <f>IFERROR(IF(D18="-","= 0 mm","= " &amp; TEXT(D18,"#")&amp;" mm"),"")</f>
        <v>= 3102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8,0°</v>
      </c>
      <c r="G10" s="82" t="str">
        <f>IFERROR(IF(G18="-","= 0 mm/m","= " &amp; TEXT(G18,"0,0")&amp;" mm/m"),"")</f>
        <v>= 140,5 mm/m</v>
      </c>
      <c r="H10" s="83" t="str">
        <f>IFERROR(IF(H18="-","= 0°","= " &amp; TEXT(H18,"0,0")&amp;"°"),"")</f>
        <v>= 0°</v>
      </c>
      <c r="I10" s="82" t="str">
        <f t="shared" ref="I10:W10" si="0">IFERROR(IF(I18="-","= 0 mm","= " &amp; TEXT(I18,"#")&amp;" mm"),"")</f>
        <v>= 4943 mm</v>
      </c>
      <c r="J10" s="82" t="str">
        <f t="shared" si="0"/>
        <v>= 4900 mm</v>
      </c>
      <c r="K10" s="82" t="str">
        <f t="shared" si="0"/>
        <v>= 0 mm</v>
      </c>
      <c r="L10" s="82" t="str">
        <f t="shared" si="0"/>
        <v>= 5013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4888 mm</v>
      </c>
      <c r="P10" s="82" t="str">
        <f>IFERROR(IF(OR(P18="-",P18="Option select!"),"= 0 mm","= " &amp; TEXT(P18,"#")&amp;" mm"),"")</f>
        <v>= 3259 mm</v>
      </c>
      <c r="Q10" s="82" t="str">
        <f t="shared" si="0"/>
        <v>= 4998 mm</v>
      </c>
      <c r="R10" s="82" t="str">
        <f t="shared" si="0"/>
        <v>= 5115 mm</v>
      </c>
      <c r="S10" s="82" t="str">
        <f t="shared" si="0"/>
        <v>= 2416 mm</v>
      </c>
      <c r="T10" s="82" t="str">
        <f t="shared" si="0"/>
        <v>= 4888 mm</v>
      </c>
      <c r="U10" s="82" t="str">
        <f t="shared" si="0"/>
        <v>= 39 mm</v>
      </c>
      <c r="V10" s="82" t="str">
        <f t="shared" si="0"/>
        <v>= 726 mm</v>
      </c>
      <c r="W10" s="84" t="str">
        <f t="shared" si="0"/>
        <v>= 3102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89</v>
      </c>
      <c r="B18" s="60">
        <v>2400</v>
      </c>
      <c r="C18" s="61">
        <v>5000</v>
      </c>
      <c r="D18" s="47">
        <f>Daten!D18</f>
        <v>3101.9481947043205</v>
      </c>
      <c r="E18" s="65" t="str">
        <f>Daten!E18</f>
        <v>-</v>
      </c>
      <c r="F18" s="62">
        <f>Daten!F18</f>
        <v>8</v>
      </c>
      <c r="G18" s="62">
        <f>Daten!G18</f>
        <v>140.54083470239146</v>
      </c>
      <c r="H18" s="63" t="str">
        <f>Daten!H18</f>
        <v>-</v>
      </c>
      <c r="I18" s="64">
        <f>Daten!I18</f>
        <v>4943.3135368336943</v>
      </c>
      <c r="J18" s="65">
        <f>Daten!J18</f>
        <v>4900</v>
      </c>
      <c r="K18" s="65" t="str">
        <f>Daten!K18</f>
        <v>-</v>
      </c>
      <c r="L18" s="65">
        <f>Daten!L18</f>
        <v>5013.3135368336943</v>
      </c>
      <c r="M18" s="65" t="str">
        <f>Daten!M18</f>
        <v>-</v>
      </c>
      <c r="N18" s="65" t="str">
        <f>Daten!N18</f>
        <v>-</v>
      </c>
      <c r="O18" s="65">
        <f>Daten!O18</f>
        <v>4888.3135368336943</v>
      </c>
      <c r="P18" s="65">
        <f>IF(U5=U6,Daten!P18,IF(U5=V6,Daten!X18,"Option Select!"))</f>
        <v>3258.9481947043205</v>
      </c>
      <c r="Q18" s="66">
        <f>Daten!Q18</f>
        <v>4998.3135368336943</v>
      </c>
      <c r="R18" s="67">
        <f>Daten!R18</f>
        <v>5115.3135368336943</v>
      </c>
      <c r="S18" s="68">
        <f>Daten!S18</f>
        <v>2415.6999999999998</v>
      </c>
      <c r="T18" s="65">
        <f>Daten!T18</f>
        <v>4888.3135368336943</v>
      </c>
      <c r="U18" s="65">
        <f>Daten!U18</f>
        <v>39</v>
      </c>
      <c r="V18" s="65">
        <f>Daten!V18</f>
        <v>725.74819470432044</v>
      </c>
      <c r="W18" s="69">
        <f>Daten!W18</f>
        <v>3101.9481947043205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HKTSE8veOBJLONto3M6cTqcJt9/ChMX8zbSYNa7fZe7t8q6W5tGogXyMFt/2rfx6thxpvtva9vxK9MYCjP/kmA==" saltValue="VyOXcjRW/jkSaH2kkX9eeg==" spinCount="100000" sheet="1" autoFilter="0" pivotTables="0"/>
  <mergeCells count="28">
    <mergeCell ref="W12:W17"/>
    <mergeCell ref="N12:N17"/>
    <mergeCell ref="O12:O17"/>
    <mergeCell ref="P12:P17"/>
    <mergeCell ref="Q12:Q17"/>
    <mergeCell ref="R12:R17"/>
    <mergeCell ref="S12:S17"/>
    <mergeCell ref="K12:K17"/>
    <mergeCell ref="L12:L17"/>
    <mergeCell ref="T12:T17"/>
    <mergeCell ref="U12:U17"/>
    <mergeCell ref="V12:V17"/>
    <mergeCell ref="U5:W5"/>
    <mergeCell ref="U4:W4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</mergeCells>
  <dataValidations disablePrompts="1" count="1">
    <dataValidation type="list" allowBlank="1" showInputMessage="1" showErrorMessage="1" sqref="U5:W5" xr:uid="{1A573FDB-6C1F-4684-85EF-2A1B0A6E8CAD}">
      <formula1>$U$6:$V$6</formula1>
    </dataValidation>
  </dataValidation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A390A26-2BAE-4557-963F-A3CC040FB097}">
          <x14:formula1>
            <xm:f>Daten!$AA$2:$AA$4</xm:f>
          </x14:formula1>
          <xm:sqref>W2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371D-99C7-427B-85A2-1AB7F38EF06F}">
  <sheetPr>
    <tabColor rgb="FFFFC000"/>
    <pageSetUpPr fitToPage="1"/>
  </sheetPr>
  <dimension ref="A1:Y100"/>
  <sheetViews>
    <sheetView windowProtection="1" zoomScale="85" zoomScaleNormal="85" zoomScaleSheetLayoutView="85" workbookViewId="0">
      <selection activeCell="R8" sqref="R8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thickBot="1" x14ac:dyDescent="0.25">
      <c r="A3" s="75"/>
      <c r="U3" s="72"/>
      <c r="V3" s="72"/>
      <c r="W3" s="76"/>
    </row>
    <row r="4" spans="1:25" s="74" customFormat="1" ht="30" customHeight="1" x14ac:dyDescent="0.2">
      <c r="A4" s="75"/>
      <c r="U4" s="170" t="str">
        <f>HLOOKUP(W2,Daten!$AC$1:$AE$30,Daten!AB29,0)</f>
        <v>Wandprofil</v>
      </c>
      <c r="V4" s="171"/>
      <c r="W4" s="172"/>
    </row>
    <row r="5" spans="1:25" s="74" customFormat="1" ht="30" customHeight="1" thickBot="1" x14ac:dyDescent="0.25">
      <c r="A5" s="75"/>
      <c r="U5" s="167" t="s">
        <v>99</v>
      </c>
      <c r="V5" s="168"/>
      <c r="W5" s="169"/>
    </row>
    <row r="6" spans="1:25" s="74" customFormat="1" ht="30" customHeight="1" x14ac:dyDescent="0.2">
      <c r="A6" s="75"/>
      <c r="U6" s="153" t="str">
        <f>HLOOKUP(W2,Daten!$AC$1:$AE$30,Daten!AB30,0)</f>
        <v>Standard</v>
      </c>
      <c r="V6" s="153" t="str">
        <f>HLOOKUP(W2,Daten!$AC$1:$AE$31,Daten!AB31,0)</f>
        <v>XL</v>
      </c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2250 mm</v>
      </c>
      <c r="C10" s="82" t="str">
        <f>IFERROR(IF(C18="-","= 0 mm","= " &amp; TEXT(C18,"#")&amp;" mm"),"")</f>
        <v>= 5000 mm</v>
      </c>
      <c r="D10" s="82" t="str">
        <f>IFERROR(IF(D18="-","= 0 mm","= " &amp; TEXT(D18,"#")&amp;" mm"),"")</f>
        <v>= 2972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8,0°</v>
      </c>
      <c r="G10" s="82" t="str">
        <f>IFERROR(IF(G18="-","= 0 mm/m","= " &amp; TEXT(G18,"0,0")&amp;" mm/m"),"")</f>
        <v>= 140,5 mm/m</v>
      </c>
      <c r="H10" s="83" t="str">
        <f>IFERROR(IF(H18="-","= 0°","= " &amp; TEXT(H18,"0,0")&amp;"°"),"")</f>
        <v>= 0°</v>
      </c>
      <c r="I10" s="82" t="str">
        <f t="shared" ref="I10:W10" si="0">IFERROR(IF(I18="-","= 0 mm","= " &amp; TEXT(I18,"#")&amp;" mm"),"")</f>
        <v>= 4956 mm</v>
      </c>
      <c r="J10" s="82" t="str">
        <f t="shared" si="0"/>
        <v>= 4900 mm</v>
      </c>
      <c r="K10" s="82" t="str">
        <f t="shared" si="0"/>
        <v>= 0 mm</v>
      </c>
      <c r="L10" s="82" t="str">
        <f t="shared" si="0"/>
        <v>= 5046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4901 mm</v>
      </c>
      <c r="P10" s="82" t="str">
        <f>IFERROR(IF(OR(P18="-",P18="Option select!"),"= 0 mm","= " &amp; TEXT(P18,"#")&amp;" mm"),"")</f>
        <v>= 3129 mm</v>
      </c>
      <c r="Q10" s="82" t="str">
        <f t="shared" si="0"/>
        <v>= 5011 mm</v>
      </c>
      <c r="R10" s="82" t="str">
        <f t="shared" si="0"/>
        <v>= 5128 mm</v>
      </c>
      <c r="S10" s="82" t="str">
        <f t="shared" si="0"/>
        <v>= 2284 mm</v>
      </c>
      <c r="T10" s="82" t="str">
        <f t="shared" si="0"/>
        <v>= 4901 mm</v>
      </c>
      <c r="U10" s="82" t="str">
        <f t="shared" si="0"/>
        <v>= 34 mm</v>
      </c>
      <c r="V10" s="82" t="str">
        <f t="shared" si="0"/>
        <v>= 722 mm</v>
      </c>
      <c r="W10" s="84" t="str">
        <f t="shared" si="0"/>
        <v>= 2972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90</v>
      </c>
      <c r="B18" s="60">
        <v>2250</v>
      </c>
      <c r="C18" s="61">
        <v>5000</v>
      </c>
      <c r="D18" s="47">
        <f>Daten!D19</f>
        <v>2971.8827853892317</v>
      </c>
      <c r="E18" s="65" t="str">
        <f>Daten!E19</f>
        <v>-</v>
      </c>
      <c r="F18" s="62">
        <f>Daten!F19</f>
        <v>8</v>
      </c>
      <c r="G18" s="62">
        <f>Daten!G19</f>
        <v>140.54083470239146</v>
      </c>
      <c r="H18" s="63" t="str">
        <f>Daten!H19</f>
        <v>-</v>
      </c>
      <c r="I18" s="64">
        <f>Daten!I19</f>
        <v>4956.29168405156</v>
      </c>
      <c r="J18" s="65">
        <f>Daten!J19</f>
        <v>4900</v>
      </c>
      <c r="K18" s="65" t="str">
        <f>Daten!K19</f>
        <v>-</v>
      </c>
      <c r="L18" s="65">
        <f>Daten!L19</f>
        <v>5045.8916840515603</v>
      </c>
      <c r="M18" s="65" t="str">
        <f>Daten!M19</f>
        <v>-</v>
      </c>
      <c r="N18" s="65" t="str">
        <f>Daten!N19</f>
        <v>-</v>
      </c>
      <c r="O18" s="65">
        <f>Daten!O19</f>
        <v>4901.29168405156</v>
      </c>
      <c r="P18" s="65">
        <f>IF(U5=U6,Daten!P19,IF(U5=V6,Daten!X19,"Option Select!"))</f>
        <v>3129.0627853892315</v>
      </c>
      <c r="Q18" s="66">
        <f>Daten!Q19</f>
        <v>5011.29168405156</v>
      </c>
      <c r="R18" s="67">
        <f>Daten!R19</f>
        <v>5128.29168405156</v>
      </c>
      <c r="S18" s="68">
        <f>Daten!S19</f>
        <v>2284</v>
      </c>
      <c r="T18" s="65">
        <f>Daten!T19</f>
        <v>4901.29168405156</v>
      </c>
      <c r="U18" s="65">
        <f>Daten!U19</f>
        <v>34</v>
      </c>
      <c r="V18" s="65">
        <f>Daten!V19</f>
        <v>721.88278538923169</v>
      </c>
      <c r="W18" s="69">
        <f>Daten!W19</f>
        <v>2971.8827853892317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N3+jyZrNVr8Tm6fMQFe2GKByiTKPesSN03fyBWQHsBYM0Qf5j9qwh7WWFrJudeMsfis2C2+vm469phbmwwfiVg==" saltValue="dxHbFPihDsi6X91Q5b+b8Q==" spinCount="100000" sheet="1" autoFilter="0" pivotTables="0"/>
  <mergeCells count="28">
    <mergeCell ref="W12:W17"/>
    <mergeCell ref="N12:N17"/>
    <mergeCell ref="O12:O17"/>
    <mergeCell ref="P12:P17"/>
    <mergeCell ref="Q12:Q17"/>
    <mergeCell ref="R12:R17"/>
    <mergeCell ref="S12:S17"/>
    <mergeCell ref="K12:K17"/>
    <mergeCell ref="L12:L17"/>
    <mergeCell ref="T12:T17"/>
    <mergeCell ref="U12:U17"/>
    <mergeCell ref="V12:V17"/>
    <mergeCell ref="U4:W4"/>
    <mergeCell ref="U5:W5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</mergeCells>
  <dataValidations count="1">
    <dataValidation type="list" allowBlank="1" showInputMessage="1" showErrorMessage="1" sqref="U5:W5" xr:uid="{2EDFB9C5-0125-4419-99FE-AA8A3B0E780D}">
      <formula1>$U$6:$V$6</formula1>
    </dataValidation>
  </dataValidation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87BE90-0480-4B96-9E7E-54CEF3F26F01}">
          <x14:formula1>
            <xm:f>Daten!$AA$2:$AA$4</xm:f>
          </x14:formula1>
          <xm:sqref>W2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5763-F59A-4591-91F9-0C99A5F8D76E}">
  <sheetPr>
    <tabColor rgb="FFB2DE82"/>
    <pageSetUpPr fitToPage="1"/>
  </sheetPr>
  <dimension ref="A1:Y100"/>
  <sheetViews>
    <sheetView windowProtection="1" zoomScale="85" zoomScaleNormal="85" zoomScaleSheetLayoutView="85" workbookViewId="0">
      <selection activeCell="Q9" sqref="Q9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thickBot="1" x14ac:dyDescent="0.25">
      <c r="A3" s="75"/>
      <c r="U3" s="165"/>
      <c r="V3" s="165"/>
      <c r="W3" s="166" t="str" cm="1">
        <f t="array" ref="W3">IFERROR(_xlfn.IFS(U8=U9,L10,U8=V9,M10,U8=W9,N10),"= 0")</f>
        <v>= 4173 mm</v>
      </c>
    </row>
    <row r="4" spans="1:25" s="74" customFormat="1" ht="30" customHeight="1" x14ac:dyDescent="0.2">
      <c r="A4" s="75"/>
      <c r="U4" s="170" t="str">
        <f>HLOOKUP(W2,Daten!$AC$1:$AE$30,Daten!AB29,0)</f>
        <v>Wandprofil</v>
      </c>
      <c r="V4" s="171"/>
      <c r="W4" s="172"/>
    </row>
    <row r="5" spans="1:25" s="74" customFormat="1" ht="30" customHeight="1" thickBot="1" x14ac:dyDescent="0.25">
      <c r="A5" s="75"/>
      <c r="U5" s="167" t="s">
        <v>99</v>
      </c>
      <c r="V5" s="168"/>
      <c r="W5" s="169"/>
    </row>
    <row r="6" spans="1:25" s="74" customFormat="1" ht="30" customHeight="1" thickBot="1" x14ac:dyDescent="0.25">
      <c r="A6" s="75"/>
      <c r="U6" s="153" t="str">
        <f>HLOOKUP(W2,Daten!$AC$1:$AE$30,Daten!AB30,0)</f>
        <v>Standard</v>
      </c>
      <c r="V6" s="153" t="str">
        <f>HLOOKUP(W2,Daten!$AC$1:$AE$31,Daten!AB31,0)</f>
        <v>XL</v>
      </c>
      <c r="W6" s="77"/>
    </row>
    <row r="7" spans="1:25" s="74" customFormat="1" ht="30" customHeight="1" x14ac:dyDescent="0.2">
      <c r="A7" s="75"/>
      <c r="U7" s="170" t="str">
        <f>HLOOKUP($W$2,Daten!$AC$1:$AE$35,Daten!AB32,0)</f>
        <v>Zierleiste</v>
      </c>
      <c r="V7" s="171"/>
      <c r="W7" s="172"/>
    </row>
    <row r="8" spans="1:25" s="74" customFormat="1" ht="30" customHeight="1" thickBot="1" x14ac:dyDescent="0.25">
      <c r="A8" s="75"/>
      <c r="U8" s="167" t="s">
        <v>99</v>
      </c>
      <c r="V8" s="168"/>
      <c r="W8" s="169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161" t="str">
        <f>HLOOKUP(W2,Daten!$AC$1:$AE$30,Daten!AB30,0)</f>
        <v>Standard</v>
      </c>
      <c r="V9" s="161" t="str">
        <f>HLOOKUP(W2,Daten!$AC$1:$AE$35,Daten!AB33,0)</f>
        <v>Rund</v>
      </c>
      <c r="W9" s="162" t="str">
        <f>HLOOKUP(W2,Daten!$AC$1:$AE$35,Daten!AB34,0)</f>
        <v>Klassik</v>
      </c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2250 mm</v>
      </c>
      <c r="C10" s="82" t="str">
        <f>IFERROR(IF(C18="-","= 0 mm","= " &amp; TEXT(C18,"#")&amp;" mm"),"")</f>
        <v>= 4050 mm</v>
      </c>
      <c r="D10" s="82" t="str">
        <f>IFERROR(IF(D18="-","= 0 mm","= " &amp; TEXT(D18,"#")&amp;" mm"),"")</f>
        <v>= 2700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5,8°</v>
      </c>
      <c r="G10" s="82" t="str">
        <f>IFERROR(IF(G18="-","= 0 mm/m","= " &amp; TEXT(G18,"0,0")&amp;" mm/m"),"")</f>
        <v>= 102,3 mm/m</v>
      </c>
      <c r="H10" s="83" t="str">
        <f>IFERROR(IF(H18="-","= 0°","= " &amp; TEXT(H18,"0,0")&amp;"°"),"")</f>
        <v>= 0°</v>
      </c>
      <c r="I10" s="82" t="str">
        <f t="shared" ref="I10:T10" si="0">IFERROR(IF(I18="-","= 0 mm","= " &amp; TEXT(I18,"#")&amp;" mm"),"")</f>
        <v>= 4061 mm</v>
      </c>
      <c r="J10" s="82" t="str">
        <f t="shared" si="0"/>
        <v>= 3950 mm</v>
      </c>
      <c r="K10" s="82" t="str">
        <f t="shared" si="0"/>
        <v>= 0 mm</v>
      </c>
      <c r="L10" s="82" t="str">
        <f t="shared" si="0"/>
        <v>= 4173 mm</v>
      </c>
      <c r="M10" s="82" t="str">
        <f t="shared" si="0"/>
        <v>= 4177 mm</v>
      </c>
      <c r="N10" s="82" t="str">
        <f t="shared" si="0"/>
        <v>= 4219 mm</v>
      </c>
      <c r="O10" s="82" t="str">
        <f t="shared" si="0"/>
        <v>= 4006 mm</v>
      </c>
      <c r="P10" s="82" t="str">
        <f>IFERROR(IF(OR(P18="-",P18="Option select!"),"= 0 mm","= " &amp; TEXT(P18,"#")&amp;" mm"),"")</f>
        <v>= 2862 mm</v>
      </c>
      <c r="Q10" s="82" t="str">
        <f t="shared" si="0"/>
        <v>= 4116 mm</v>
      </c>
      <c r="R10" s="82" t="str">
        <f t="shared" si="0"/>
        <v>= 4233 mm</v>
      </c>
      <c r="S10" s="82" t="str">
        <f t="shared" si="0"/>
        <v>= 2289 mm</v>
      </c>
      <c r="T10" s="82" t="str">
        <f t="shared" si="0"/>
        <v>= 4006 mm</v>
      </c>
      <c r="U10" s="163"/>
      <c r="V10" s="163"/>
      <c r="W10" s="164"/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31</v>
      </c>
      <c r="B18" s="60">
        <v>2250</v>
      </c>
      <c r="C18" s="61">
        <v>4050</v>
      </c>
      <c r="D18" s="70">
        <v>2700</v>
      </c>
      <c r="E18" s="65" t="str">
        <f>Daten!E20</f>
        <v>-</v>
      </c>
      <c r="F18" s="62">
        <f>Daten!F20</f>
        <v>5.8415739565829989</v>
      </c>
      <c r="G18" s="62">
        <f>Daten!G20</f>
        <v>102.309438987017</v>
      </c>
      <c r="H18" s="63" t="str">
        <f>Daten!H20</f>
        <v>-</v>
      </c>
      <c r="I18" s="64">
        <f>Daten!I20</f>
        <v>4061.3881249444503</v>
      </c>
      <c r="J18" s="65">
        <f>Daten!J20</f>
        <v>3950</v>
      </c>
      <c r="K18" s="65" t="str">
        <f>Daten!K20</f>
        <v>-</v>
      </c>
      <c r="L18" s="65">
        <f>Daten!L20</f>
        <v>4173.3881249444503</v>
      </c>
      <c r="M18" s="65">
        <f>Daten!M20</f>
        <v>4176.6881249444505</v>
      </c>
      <c r="N18" s="65">
        <f>Daten!N20</f>
        <v>4218.9881249444506</v>
      </c>
      <c r="O18" s="65">
        <f>Daten!O20</f>
        <v>4006.3881249444503</v>
      </c>
      <c r="P18" s="65">
        <f>IF(U5=U6,Daten!P20,IF(U5=V6,Daten!X20,"Option Select!"))</f>
        <v>2862.2</v>
      </c>
      <c r="Q18" s="66">
        <f>Daten!Q20</f>
        <v>4116.3881249444503</v>
      </c>
      <c r="R18" s="67">
        <f>Daten!R20</f>
        <v>4233.3881249444503</v>
      </c>
      <c r="S18" s="68">
        <f>Daten!S20</f>
        <v>2289</v>
      </c>
      <c r="T18" s="65">
        <f>Daten!T20</f>
        <v>4006.3881249444503</v>
      </c>
      <c r="U18" s="65">
        <f>Daten!U20</f>
        <v>39</v>
      </c>
      <c r="V18" s="65">
        <f>Daten!V20</f>
        <v>450</v>
      </c>
      <c r="W18" s="69">
        <f>Daten!W20</f>
        <v>2700</v>
      </c>
      <c r="X18" s="1"/>
      <c r="Y18" s="8"/>
    </row>
    <row r="19" spans="1:25" s="74" customFormat="1" ht="15" customHeight="1" x14ac:dyDescent="0.2">
      <c r="L19" s="213" t="str">
        <f>U7&amp;" "&amp;U9</f>
        <v>Zierleiste Standard</v>
      </c>
      <c r="M19" s="213" t="str">
        <f>U7&amp;" "&amp;V9</f>
        <v>Zierleiste Rund</v>
      </c>
      <c r="N19" s="213" t="str">
        <f>U7&amp;" "&amp;W9</f>
        <v>Zierleiste Klassik</v>
      </c>
      <c r="X19" s="1"/>
      <c r="Y19" s="26"/>
    </row>
    <row r="20" spans="1:25" s="74" customFormat="1" ht="15" customHeight="1" x14ac:dyDescent="0.2">
      <c r="L20" s="214"/>
      <c r="M20" s="214"/>
      <c r="N20" s="214"/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wYlU7pOiwLY5RXjTuGT7V89dD5RrVl8w2UY+vUAUbsSyuYdsouix0txeysWVJZalGFF6EouG5l7FmSRG9YOLCg==" saltValue="TJaGr719arRIN5TN0HgsWA==" spinCount="100000" sheet="1" autoFilter="0" pivotTables="0"/>
  <mergeCells count="33">
    <mergeCell ref="W12:W17"/>
    <mergeCell ref="L19:L20"/>
    <mergeCell ref="M19:M20"/>
    <mergeCell ref="N19:N20"/>
    <mergeCell ref="N12:N17"/>
    <mergeCell ref="O12:O17"/>
    <mergeCell ref="P12:P17"/>
    <mergeCell ref="Q12:Q17"/>
    <mergeCell ref="R12:R17"/>
    <mergeCell ref="S12:S17"/>
    <mergeCell ref="M12:M17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T12:T17"/>
    <mergeCell ref="U12:U17"/>
    <mergeCell ref="V12:V17"/>
    <mergeCell ref="U4:W4"/>
    <mergeCell ref="U5:W5"/>
    <mergeCell ref="U7:W7"/>
    <mergeCell ref="U8:W8"/>
    <mergeCell ref="U1:V1"/>
    <mergeCell ref="U2:V2"/>
  </mergeCells>
  <dataValidations count="2">
    <dataValidation type="list" allowBlank="1" showInputMessage="1" showErrorMessage="1" sqref="U5:W5" xr:uid="{49DE4EE3-3DEE-4272-9814-974635D06D5F}">
      <formula1>$U$6:$V$6</formula1>
    </dataValidation>
    <dataValidation type="list" allowBlank="1" showInputMessage="1" showErrorMessage="1" sqref="U8:W8" xr:uid="{3A3489BC-ADDB-4DAB-A90D-A44FDD635595}">
      <formula1>$U$9:$W$9</formula1>
    </dataValidation>
  </dataValidation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1877A2-F0D9-4F44-B4D0-80A6445EA1D8}">
          <x14:formula1>
            <xm:f>Daten!$AA$2:$AA$4</xm:f>
          </x14:formula1>
          <xm:sqref>W2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6630-7A09-4BDC-9029-62722EA75829}">
  <sheetPr>
    <tabColor rgb="FF92D050"/>
    <pageSetUpPr fitToPage="1"/>
  </sheetPr>
  <dimension ref="A1:Y100"/>
  <sheetViews>
    <sheetView windowProtection="1" zoomScale="85" zoomScaleNormal="85" zoomScaleSheetLayoutView="85" workbookViewId="0">
      <selection activeCell="P8" sqref="P8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thickBot="1" x14ac:dyDescent="0.25">
      <c r="A3" s="75"/>
      <c r="U3" s="72"/>
      <c r="V3" s="72"/>
      <c r="W3" s="76"/>
    </row>
    <row r="4" spans="1:25" s="74" customFormat="1" ht="30" customHeight="1" x14ac:dyDescent="0.2">
      <c r="A4" s="75"/>
      <c r="U4" s="170" t="str">
        <f>HLOOKUP(W2,Daten!$AC$1:$AE$30,Daten!AB29,0)</f>
        <v>Wandprofil</v>
      </c>
      <c r="V4" s="171"/>
      <c r="W4" s="172"/>
    </row>
    <row r="5" spans="1:25" s="74" customFormat="1" ht="30" customHeight="1" thickBot="1" x14ac:dyDescent="0.25">
      <c r="A5" s="75"/>
      <c r="U5" s="167" t="s">
        <v>99</v>
      </c>
      <c r="V5" s="168"/>
      <c r="W5" s="169"/>
    </row>
    <row r="6" spans="1:25" s="74" customFormat="1" ht="30" customHeight="1" x14ac:dyDescent="0.2">
      <c r="A6" s="75"/>
      <c r="U6" s="153" t="str">
        <f>HLOOKUP(W2,Daten!$AC$1:$AE$30,Daten!AB30,0)</f>
        <v>Standard</v>
      </c>
      <c r="V6" s="153" t="str">
        <f>HLOOKUP(W2,Daten!$AC$1:$AE$31,Daten!AB31,0)</f>
        <v>XL</v>
      </c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2250 mm</v>
      </c>
      <c r="C10" s="82" t="str">
        <f>IFERROR(IF(C18="-","= 0 mm","= " &amp; TEXT(C18,"#")&amp;" mm"),"")</f>
        <v>= 4050 mm</v>
      </c>
      <c r="D10" s="82" t="str">
        <f>IFERROR(IF(D18="-","= 0 mm","= " &amp; TEXT(D18,"#")&amp;" mm"),"")</f>
        <v>= 2700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5,7°</v>
      </c>
      <c r="G10" s="82" t="str">
        <f>IFERROR(IF(G18="-","= 0 mm/m","= " &amp; TEXT(G18,"0,0")&amp;" mm/m"),"")</f>
        <v>= 99,8 mm/m</v>
      </c>
      <c r="H10" s="83" t="str">
        <f>IFERROR(IF(H18="-","= 0°","= " &amp; TEXT(H18,"0,0")&amp;"°"),"")</f>
        <v>= 0°</v>
      </c>
      <c r="I10" s="82" t="str">
        <f t="shared" ref="I10:W10" si="0">IFERROR(IF(I18="-","= 0 mm","= " &amp; TEXT(I18,"#")&amp;" mm"),"")</f>
        <v>= 4062 mm</v>
      </c>
      <c r="J10" s="82" t="str">
        <f t="shared" si="0"/>
        <v>= 3950 mm</v>
      </c>
      <c r="K10" s="82" t="str">
        <f t="shared" si="0"/>
        <v>= 0 mm</v>
      </c>
      <c r="L10" s="82" t="str">
        <f t="shared" si="0"/>
        <v>= 4174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4007 mm</v>
      </c>
      <c r="P10" s="82" t="str">
        <f>IFERROR(IF(OR(P18="-",P18="Option select!"),"= 0 mm","= " &amp; TEXT(P18,"#")&amp;" mm"),"")</f>
        <v>= 2862 mm</v>
      </c>
      <c r="Q10" s="82" t="str">
        <f t="shared" si="0"/>
        <v>= 4117 mm</v>
      </c>
      <c r="R10" s="82" t="str">
        <f t="shared" si="0"/>
        <v>= 4234 mm</v>
      </c>
      <c r="S10" s="82" t="str">
        <f t="shared" si="0"/>
        <v>= 2300 mm</v>
      </c>
      <c r="T10" s="82" t="str">
        <f t="shared" si="0"/>
        <v>= 4007 mm</v>
      </c>
      <c r="U10" s="82" t="str">
        <f t="shared" si="0"/>
        <v>= 50 mm</v>
      </c>
      <c r="V10" s="82" t="str">
        <f t="shared" si="0"/>
        <v>= 450 mm</v>
      </c>
      <c r="W10" s="84" t="str">
        <f t="shared" si="0"/>
        <v>= 2700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91</v>
      </c>
      <c r="B18" s="60">
        <v>2250</v>
      </c>
      <c r="C18" s="61">
        <v>4050</v>
      </c>
      <c r="D18" s="70">
        <v>2700</v>
      </c>
      <c r="E18" s="65" t="str">
        <f>Daten!E21</f>
        <v>-</v>
      </c>
      <c r="F18" s="62">
        <f>Daten!F21</f>
        <v>5.6965319787820983</v>
      </c>
      <c r="G18" s="62">
        <f>Daten!G21</f>
        <v>99.75213842645266</v>
      </c>
      <c r="H18" s="63" t="str">
        <f>Daten!H21</f>
        <v>-</v>
      </c>
      <c r="I18" s="64">
        <f>Daten!I21</f>
        <v>4062.2924964492881</v>
      </c>
      <c r="J18" s="65">
        <f>Daten!J21</f>
        <v>3950</v>
      </c>
      <c r="K18" s="65" t="str">
        <f>Daten!K21</f>
        <v>-</v>
      </c>
      <c r="L18" s="65">
        <f>Daten!L21</f>
        <v>4174.392496449288</v>
      </c>
      <c r="M18" s="65" t="str">
        <f>Daten!M21</f>
        <v>-</v>
      </c>
      <c r="N18" s="65" t="str">
        <f>Daten!N21</f>
        <v>-</v>
      </c>
      <c r="O18" s="65">
        <f>Daten!O21</f>
        <v>4007.2924964492881</v>
      </c>
      <c r="P18" s="65">
        <f>IF(U5=U6,Daten!P21,IF(U5=V6,Daten!X21,"Option Select!"))</f>
        <v>2862.2</v>
      </c>
      <c r="Q18" s="66">
        <f>Daten!Q21</f>
        <v>4117.2924964492886</v>
      </c>
      <c r="R18" s="67">
        <f>Daten!R21</f>
        <v>4234.2924964492886</v>
      </c>
      <c r="S18" s="68">
        <f>Daten!S21</f>
        <v>2300.1</v>
      </c>
      <c r="T18" s="65">
        <f>Daten!T21</f>
        <v>4007.2924964492881</v>
      </c>
      <c r="U18" s="65">
        <f>Daten!U21</f>
        <v>50.1</v>
      </c>
      <c r="V18" s="65">
        <f>Daten!V21</f>
        <v>450</v>
      </c>
      <c r="W18" s="69">
        <f>Daten!W21</f>
        <v>2700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am7y7QhbTsErUJ/oeHNYj7yCRb/HmeGEyz3YXrsadyUYjtDX5M2mhqhlt8vi+oE7OvW/Kle8FWbXNOKGIW2orQ==" saltValue="NIileIccITagBS8+XMsnlQ==" spinCount="100000" sheet="1" autoFilter="0" pivotTables="0"/>
  <mergeCells count="28">
    <mergeCell ref="W12:W17"/>
    <mergeCell ref="N12:N17"/>
    <mergeCell ref="O12:O17"/>
    <mergeCell ref="P12:P17"/>
    <mergeCell ref="Q12:Q17"/>
    <mergeCell ref="R12:R17"/>
    <mergeCell ref="S12:S17"/>
    <mergeCell ref="K12:K17"/>
    <mergeCell ref="L12:L17"/>
    <mergeCell ref="T12:T17"/>
    <mergeCell ref="U12:U17"/>
    <mergeCell ref="V12:V17"/>
    <mergeCell ref="U4:W4"/>
    <mergeCell ref="U5:W5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</mergeCells>
  <dataValidations count="1">
    <dataValidation type="list" allowBlank="1" showInputMessage="1" showErrorMessage="1" sqref="U5:W5" xr:uid="{988A46DB-C191-4016-ADF4-2B3AF688F69D}">
      <formula1>$U$6:$V$6</formula1>
    </dataValidation>
  </dataValidation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DB52A5-2BBC-485F-AD61-043EC53952DF}">
          <x14:formula1>
            <xm:f>Daten!$AA$2:$AA$4</xm:f>
          </x14:formula1>
          <xm:sqref>W2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E765-F2DF-4142-8F8C-AD569C3C442B}">
  <sheetPr>
    <tabColor rgb="FF6DD9FF"/>
    <pageSetUpPr fitToPage="1"/>
  </sheetPr>
  <dimension ref="A1:Y100"/>
  <sheetViews>
    <sheetView windowProtection="1" zoomScale="85" zoomScaleNormal="85" zoomScaleSheetLayoutView="85" workbookViewId="0">
      <selection activeCell="P10" sqref="P10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thickBot="1" x14ac:dyDescent="0.25">
      <c r="A3" s="75"/>
      <c r="U3" s="72"/>
      <c r="V3" s="72"/>
      <c r="W3" s="76"/>
    </row>
    <row r="4" spans="1:25" s="74" customFormat="1" ht="30" customHeight="1" x14ac:dyDescent="0.2">
      <c r="A4" s="75"/>
      <c r="U4" s="170" t="str">
        <f>HLOOKUP(W2,Daten!$AC$1:$AE$30,Daten!AB29,0)</f>
        <v>Wandprofil</v>
      </c>
      <c r="V4" s="171"/>
      <c r="W4" s="172"/>
    </row>
    <row r="5" spans="1:25" s="74" customFormat="1" ht="30" customHeight="1" thickBot="1" x14ac:dyDescent="0.25">
      <c r="A5" s="75"/>
      <c r="U5" s="167" t="s">
        <v>99</v>
      </c>
      <c r="V5" s="168"/>
      <c r="W5" s="169"/>
    </row>
    <row r="6" spans="1:25" s="74" customFormat="1" ht="30" customHeight="1" x14ac:dyDescent="0.2">
      <c r="A6" s="75"/>
      <c r="U6" s="153" t="str">
        <f>HLOOKUP(W2,Daten!$AC$1:$AE$30,Daten!AB30,0)</f>
        <v>Standard</v>
      </c>
      <c r="V6" s="153" t="str">
        <f>HLOOKUP(W2,Daten!$AC$1:$AE$31,Daten!AB31,0)</f>
        <v>XL</v>
      </c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2200 mm</v>
      </c>
      <c r="C10" s="82" t="str">
        <f>IFERROR(IF(C18="-","= 0 mm","= " &amp; TEXT(C18,"#")&amp;" mm"),"")</f>
        <v>= 4500 mm</v>
      </c>
      <c r="D10" s="82" t="str">
        <f>IFERROR(IF(D18="-","= 0 mm","= " &amp; TEXT(D18,"#")&amp;" mm"),"")</f>
        <v>= 2700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5,4°</v>
      </c>
      <c r="G10" s="82" t="str">
        <f>IFERROR(IF(G18="-","= 0 mm/m","= " &amp; TEXT(G18,"0,0")&amp;" mm/m"),"")</f>
        <v>= 94,0 mm/m</v>
      </c>
      <c r="H10" s="83" t="str">
        <f>IFERROR(IF(H18="-","= 0°","= " &amp; TEXT(H18,"0,0")&amp;"°"),"")</f>
        <v>= 0°</v>
      </c>
      <c r="I10" s="82" t="str">
        <f t="shared" ref="I10:W10" si="0">IFERROR(IF(I18="-","= 0 mm","= " &amp; TEXT(I18,"#")&amp;" mm"),"")</f>
        <v>= 4479 mm</v>
      </c>
      <c r="J10" s="82" t="str">
        <f t="shared" si="0"/>
        <v>= 4345 mm</v>
      </c>
      <c r="K10" s="82" t="str">
        <f t="shared" si="0"/>
        <v>= 0 mm</v>
      </c>
      <c r="L10" s="82" t="str">
        <f t="shared" si="0"/>
        <v>= 4602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4404 mm</v>
      </c>
      <c r="P10" s="82" t="str">
        <f>IFERROR(IF(OR(P18="-",P18="Option select!"),"= 0 mm","= " &amp; TEXT(P18,"#")&amp;" mm"),"")</f>
        <v>= 2862 mm</v>
      </c>
      <c r="Q10" s="82" t="str">
        <f t="shared" si="0"/>
        <v>= 4553 mm</v>
      </c>
      <c r="R10" s="82" t="str">
        <f t="shared" si="0"/>
        <v>= 4670 mm</v>
      </c>
      <c r="S10" s="82" t="str">
        <f t="shared" si="0"/>
        <v>= 2284 mm</v>
      </c>
      <c r="T10" s="82" t="str">
        <f t="shared" si="0"/>
        <v>= 4404 mm</v>
      </c>
      <c r="U10" s="82" t="str">
        <f t="shared" si="0"/>
        <v>= 84 mm</v>
      </c>
      <c r="V10" s="82" t="str">
        <f t="shared" si="0"/>
        <v>= 500 mm</v>
      </c>
      <c r="W10" s="84" t="str">
        <f t="shared" si="0"/>
        <v>= 2700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1</v>
      </c>
      <c r="B18" s="60">
        <v>2200</v>
      </c>
      <c r="C18" s="61">
        <v>4500</v>
      </c>
      <c r="D18" s="70">
        <v>2700</v>
      </c>
      <c r="E18" s="65" t="str">
        <f>Daten!E22</f>
        <v>-</v>
      </c>
      <c r="F18" s="62">
        <f>Daten!F22</f>
        <v>5.368091118374374</v>
      </c>
      <c r="G18" s="62">
        <f>Daten!G22</f>
        <v>93.965969334399844</v>
      </c>
      <c r="H18" s="63" t="str">
        <f>Daten!H22</f>
        <v>-</v>
      </c>
      <c r="I18" s="64">
        <f>Daten!I22</f>
        <v>4478.5437882766091</v>
      </c>
      <c r="J18" s="65">
        <f>Daten!J22</f>
        <v>4345</v>
      </c>
      <c r="K18" s="65" t="str">
        <f>Daten!K22</f>
        <v>-</v>
      </c>
      <c r="L18" s="65">
        <f>Daten!L22</f>
        <v>4601.5437882766091</v>
      </c>
      <c r="M18" s="65" t="str">
        <f>Daten!M22</f>
        <v>-</v>
      </c>
      <c r="N18" s="65" t="str">
        <f>Daten!N22</f>
        <v>-</v>
      </c>
      <c r="O18" s="65">
        <f>Daten!O22</f>
        <v>4404.0437882766091</v>
      </c>
      <c r="P18" s="65">
        <f>IF(U5=U6,Daten!P22,IF(U5=V6,Daten!X22,"Option Select!"))</f>
        <v>2862.2</v>
      </c>
      <c r="Q18" s="66">
        <f>Daten!Q22</f>
        <v>4553.0437882766091</v>
      </c>
      <c r="R18" s="67">
        <f>Daten!R22</f>
        <v>4670.0437882766091</v>
      </c>
      <c r="S18" s="68">
        <f>Daten!S22</f>
        <v>2284</v>
      </c>
      <c r="T18" s="65">
        <f>Daten!T22</f>
        <v>4404.0437882766091</v>
      </c>
      <c r="U18" s="65">
        <f>Daten!U22</f>
        <v>84</v>
      </c>
      <c r="V18" s="65">
        <f>Daten!V22</f>
        <v>500</v>
      </c>
      <c r="W18" s="69">
        <f>Daten!W22</f>
        <v>2700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z/CAzb7y/hdsU2E1BkMfw624qnKAZBEB7tQEE7d528ypCarKoQkW7X/bn+NvHE+G9OiCpWDZssYxtzHxfB3E7Q==" saltValue="FbV/hVc5ftIDWavWyxEQ5w==" spinCount="100000" sheet="1" autoFilter="0" pivotTables="0"/>
  <mergeCells count="28">
    <mergeCell ref="W12:W17"/>
    <mergeCell ref="N12:N17"/>
    <mergeCell ref="O12:O17"/>
    <mergeCell ref="P12:P17"/>
    <mergeCell ref="Q12:Q17"/>
    <mergeCell ref="R12:R17"/>
    <mergeCell ref="S12:S17"/>
    <mergeCell ref="K12:K17"/>
    <mergeCell ref="L12:L17"/>
    <mergeCell ref="T12:T17"/>
    <mergeCell ref="U12:U17"/>
    <mergeCell ref="V12:V17"/>
    <mergeCell ref="U4:W4"/>
    <mergeCell ref="U5:W5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</mergeCells>
  <dataValidations count="1">
    <dataValidation type="list" allowBlank="1" showInputMessage="1" showErrorMessage="1" sqref="U5:W5" xr:uid="{71DB4AAF-F532-4A34-9CE3-20ABB822FD95}">
      <formula1>$U$6:$V$6</formula1>
    </dataValidation>
  </dataValidation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E2841E-8EFB-42A8-95CB-CFC2BE2E3230}">
          <x14:formula1>
            <xm:f>Daten!$AA$2:$AA$4</xm:f>
          </x14:formula1>
          <xm:sqref>W2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A883-3669-478C-8FF0-71E6D11E7EE1}">
  <sheetPr>
    <tabColor rgb="FF00B0F0"/>
    <pageSetUpPr fitToPage="1"/>
  </sheetPr>
  <dimension ref="A1:Y100"/>
  <sheetViews>
    <sheetView windowProtection="1" zoomScale="85" zoomScaleNormal="85" zoomScaleSheetLayoutView="85" workbookViewId="0">
      <selection activeCell="Q9" sqref="Q9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thickBot="1" x14ac:dyDescent="0.25">
      <c r="A3" s="75"/>
      <c r="U3" s="72"/>
      <c r="V3" s="72"/>
      <c r="W3" s="76"/>
    </row>
    <row r="4" spans="1:25" s="74" customFormat="1" ht="30" customHeight="1" x14ac:dyDescent="0.2">
      <c r="A4" s="75"/>
      <c r="U4" s="170" t="str">
        <f>HLOOKUP(W2,Daten!$AC$1:$AE$30,Daten!AB29,0)</f>
        <v>Wandprofil</v>
      </c>
      <c r="V4" s="171"/>
      <c r="W4" s="172"/>
    </row>
    <row r="5" spans="1:25" s="74" customFormat="1" ht="30" customHeight="1" thickBot="1" x14ac:dyDescent="0.25">
      <c r="A5" s="75"/>
      <c r="U5" s="167" t="s">
        <v>99</v>
      </c>
      <c r="V5" s="168"/>
      <c r="W5" s="169"/>
    </row>
    <row r="6" spans="1:25" s="74" customFormat="1" ht="30" customHeight="1" x14ac:dyDescent="0.2">
      <c r="A6" s="75"/>
      <c r="U6" s="153" t="str">
        <f>HLOOKUP(W2,Daten!$AC$1:$AE$30,Daten!AB30,0)</f>
        <v>Standard</v>
      </c>
      <c r="V6" s="153" t="str">
        <f>HLOOKUP(W2,Daten!$AC$1:$AE$31,Daten!AB31,0)</f>
        <v>XL</v>
      </c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2200 mm</v>
      </c>
      <c r="C10" s="82" t="str">
        <f>IFERROR(IF(C18="-","= 0 mm","= " &amp; TEXT(C18,"#")&amp;" mm"),"")</f>
        <v>= 4000 mm</v>
      </c>
      <c r="D10" s="82" t="str">
        <f>IFERROR(IF(D18="-","= 0 mm","= " &amp; TEXT(D18,"#")&amp;" mm"),"")</f>
        <v>= 2700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5,7°</v>
      </c>
      <c r="G10" s="82" t="str">
        <f>IFERROR(IF(G18="-","= 0 mm/m","= " &amp; TEXT(G18,"0,0")&amp;" mm/m"),"")</f>
        <v>= 100,0 mm/m</v>
      </c>
      <c r="H10" s="83" t="str">
        <f>IFERROR(IF(H18="-","= 0°","= " &amp; TEXT(H18,"0,0")&amp;"°"),"")</f>
        <v>= 0°</v>
      </c>
      <c r="I10" s="82" t="str">
        <f t="shared" ref="I10:W10" si="0">IFERROR(IF(I18="-","= 0 mm","= " &amp; TEXT(I18,"#")&amp;" mm"),"")</f>
        <v>= 3998 mm</v>
      </c>
      <c r="J10" s="82" t="str">
        <f t="shared" si="0"/>
        <v>= 3845 mm</v>
      </c>
      <c r="K10" s="82" t="str">
        <f t="shared" si="0"/>
        <v>= 0 mm</v>
      </c>
      <c r="L10" s="82" t="str">
        <f t="shared" si="0"/>
        <v>= 4133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3901 mm</v>
      </c>
      <c r="P10" s="82" t="str">
        <f>IFERROR(IF(OR(P18="-",P18="Option select!"),"= 0 mm","= " &amp; TEXT(P18,"#")&amp;" mm"),"")</f>
        <v>= 2862 mm</v>
      </c>
      <c r="Q10" s="82" t="str">
        <f t="shared" si="0"/>
        <v>= 4097 mm</v>
      </c>
      <c r="R10" s="82" t="str">
        <f t="shared" si="0"/>
        <v>= 4214 mm</v>
      </c>
      <c r="S10" s="82" t="str">
        <f t="shared" si="0"/>
        <v>= 2306 mm</v>
      </c>
      <c r="T10" s="82" t="str">
        <f t="shared" si="0"/>
        <v>= 3901 mm</v>
      </c>
      <c r="U10" s="82" t="str">
        <f t="shared" si="0"/>
        <v>= 106 mm</v>
      </c>
      <c r="V10" s="82" t="str">
        <f t="shared" si="0"/>
        <v>= 500 mm</v>
      </c>
      <c r="W10" s="84" t="str">
        <f t="shared" si="0"/>
        <v>= 2700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6</v>
      </c>
      <c r="B18" s="60">
        <v>2200</v>
      </c>
      <c r="C18" s="61">
        <v>4000</v>
      </c>
      <c r="D18" s="70">
        <v>2700</v>
      </c>
      <c r="E18" s="65" t="str">
        <f>Daten!E23</f>
        <v>-</v>
      </c>
      <c r="F18" s="62">
        <f>Daten!F23</f>
        <v>5.7102702450019072</v>
      </c>
      <c r="G18" s="62">
        <f>Daten!G23</f>
        <v>99.994308110619997</v>
      </c>
      <c r="H18" s="63" t="str">
        <f>Daten!H23</f>
        <v>-</v>
      </c>
      <c r="I18" s="64">
        <f>Daten!I23</f>
        <v>3998.3201524069791</v>
      </c>
      <c r="J18" s="65">
        <f>Daten!J23</f>
        <v>3845</v>
      </c>
      <c r="K18" s="65" t="str">
        <f>Daten!K23</f>
        <v>-</v>
      </c>
      <c r="L18" s="65">
        <f>Daten!L23</f>
        <v>4133.1201524069793</v>
      </c>
      <c r="M18" s="65" t="str">
        <f>Daten!M23</f>
        <v>-</v>
      </c>
      <c r="N18" s="65" t="str">
        <f>Daten!N23</f>
        <v>-</v>
      </c>
      <c r="O18" s="65">
        <f>Daten!O23</f>
        <v>3900.6201524069788</v>
      </c>
      <c r="P18" s="65">
        <f>IF(U5=U6,Daten!P23,IF(U5=V6,Daten!X23,"Option Select!"))</f>
        <v>2862.2</v>
      </c>
      <c r="Q18" s="66">
        <f>Daten!Q23</f>
        <v>4096.6201524069793</v>
      </c>
      <c r="R18" s="67">
        <f>Daten!R23</f>
        <v>4213.6201524069793</v>
      </c>
      <c r="S18" s="68">
        <f>Daten!S23</f>
        <v>2306</v>
      </c>
      <c r="T18" s="65">
        <f>Daten!T23</f>
        <v>3900.6201524069788</v>
      </c>
      <c r="U18" s="65">
        <f>Daten!U23</f>
        <v>106</v>
      </c>
      <c r="V18" s="65">
        <f>Daten!V23</f>
        <v>500</v>
      </c>
      <c r="W18" s="69">
        <f>Daten!W23</f>
        <v>2700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rT/Xy8uGmotCF5hLsv5T2ZWLxn2cXZdvyZndJAclrtl9+zMVmFrJpxmT6GRP/Kfnc5DOLZKhqAQJuv0LUO+Jhg==" saltValue="I3Tze15SczCjpL7J3S+4uw==" spinCount="100000" sheet="1" autoFilter="0" pivotTables="0"/>
  <mergeCells count="28">
    <mergeCell ref="W12:W17"/>
    <mergeCell ref="N12:N17"/>
    <mergeCell ref="O12:O17"/>
    <mergeCell ref="P12:P17"/>
    <mergeCell ref="Q12:Q17"/>
    <mergeCell ref="R12:R17"/>
    <mergeCell ref="S12:S17"/>
    <mergeCell ref="K12:K17"/>
    <mergeCell ref="L12:L17"/>
    <mergeCell ref="T12:T17"/>
    <mergeCell ref="U12:U17"/>
    <mergeCell ref="V12:V17"/>
    <mergeCell ref="U4:W4"/>
    <mergeCell ref="U5:W5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</mergeCells>
  <dataValidations count="1">
    <dataValidation type="list" allowBlank="1" showInputMessage="1" showErrorMessage="1" sqref="U5:W5" xr:uid="{BF6A74F1-EDF3-4C74-885C-D2671210BAE0}">
      <formula1>$U$6:$V$6</formula1>
    </dataValidation>
  </dataValidation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CBA1A8-6BA9-4415-9842-8C3DED84D3F7}">
          <x14:formula1>
            <xm:f>Daten!$AA$2:$AA$4</xm:f>
          </x14:formula1>
          <xm:sqref>W2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3B80-3609-49BC-A330-1EEC2E03472F}">
  <sheetPr>
    <tabColor theme="2" tint="-0.499984740745262"/>
    <pageSetUpPr fitToPage="1"/>
  </sheetPr>
  <dimension ref="A1:Y100"/>
  <sheetViews>
    <sheetView windowProtection="1" zoomScale="85" zoomScaleNormal="85" zoomScaleSheetLayoutView="85" workbookViewId="0">
      <selection activeCell="Q7" sqref="Q7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12" width="8.6640625" style="93" customWidth="1"/>
    <col min="13" max="14" width="9.33203125" style="93" customWidth="1"/>
    <col min="1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2250 mm</v>
      </c>
      <c r="C10" s="82" t="str">
        <f>IFERROR(IF(C18="-","= 0 mm","= " &amp; TEXT(C18,"#")&amp;" mm"),"")</f>
        <v>= 4000 mm</v>
      </c>
      <c r="D10" s="82" t="str">
        <f>IFERROR(IF(D18="-","= 0 mm","= " &amp; TEXT(D18,"#")&amp;" mm"),"")</f>
        <v>= 2700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5,4°</v>
      </c>
      <c r="G10" s="82" t="str">
        <f>IFERROR(IF(G18="-","= 0 mm/m","= " &amp; TEXT(G18,"0,0")&amp;" mm/m"),"")</f>
        <v>= 94,8 mm/m</v>
      </c>
      <c r="H10" s="83" t="str">
        <f>IFERROR(IF(H18="-","= 0°","= " &amp; TEXT(H18,"0,0")&amp;"°"),"")</f>
        <v>= 0°</v>
      </c>
      <c r="I10" s="82" t="str">
        <f t="shared" ref="I10:W10" si="0">IFERROR(IF(I18="-","= 0 mm","= " &amp; TEXT(I18,"#")&amp;" mm"),"")</f>
        <v>= 4031 mm</v>
      </c>
      <c r="J10" s="82" t="str">
        <f t="shared" si="0"/>
        <v>= 4005 mm</v>
      </c>
      <c r="K10" s="82" t="str">
        <f t="shared" si="0"/>
        <v>= 0 mm</v>
      </c>
      <c r="L10" s="82" t="str">
        <f t="shared" si="0"/>
        <v>= 4145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3933 mm</v>
      </c>
      <c r="P10" s="82" t="str">
        <f t="shared" si="0"/>
        <v>= 2864 mm</v>
      </c>
      <c r="Q10" s="82" t="str">
        <f t="shared" si="0"/>
        <v>= 4128 mm</v>
      </c>
      <c r="R10" s="82" t="str">
        <f t="shared" si="0"/>
        <v>= 4245 mm</v>
      </c>
      <c r="S10" s="82" t="str">
        <f t="shared" si="0"/>
        <v>= 2343 mm</v>
      </c>
      <c r="T10" s="82" t="str">
        <f t="shared" si="0"/>
        <v>= 3933 mm</v>
      </c>
      <c r="U10" s="82" t="str">
        <f t="shared" si="0"/>
        <v>= 93 mm</v>
      </c>
      <c r="V10" s="82" t="str">
        <f t="shared" si="0"/>
        <v>= 450 mm</v>
      </c>
      <c r="W10" s="84" t="str">
        <f t="shared" si="0"/>
        <v>= 2700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3</v>
      </c>
      <c r="B18" s="60">
        <v>2250</v>
      </c>
      <c r="C18" s="61">
        <v>4000</v>
      </c>
      <c r="D18" s="70">
        <v>2700</v>
      </c>
      <c r="E18" s="65" t="str">
        <f>Daten!E24</f>
        <v>-</v>
      </c>
      <c r="F18" s="62">
        <f>Daten!F24</f>
        <v>5.4167639192395987</v>
      </c>
      <c r="G18" s="62">
        <f>Daten!G24</f>
        <v>94.823039340375232</v>
      </c>
      <c r="H18" s="63" t="str">
        <f>Daten!H24</f>
        <v>-</v>
      </c>
      <c r="I18" s="64">
        <f>Daten!I24</f>
        <v>4030.5983110758357</v>
      </c>
      <c r="J18" s="65">
        <f>Daten!J24</f>
        <v>4005</v>
      </c>
      <c r="K18" s="65" t="str">
        <f>Daten!K24</f>
        <v>-</v>
      </c>
      <c r="L18" s="65">
        <f>Daten!L24</f>
        <v>4145.0983110758352</v>
      </c>
      <c r="M18" s="65" t="str">
        <f>Daten!M24</f>
        <v>-</v>
      </c>
      <c r="N18" s="65" t="str">
        <f>Daten!N24</f>
        <v>-</v>
      </c>
      <c r="O18" s="65">
        <f>Daten!O24</f>
        <v>3932.5983110758357</v>
      </c>
      <c r="P18" s="65">
        <f>Daten!P24</f>
        <v>2863.6</v>
      </c>
      <c r="Q18" s="66">
        <f>Daten!Q24</f>
        <v>4127.6983110758356</v>
      </c>
      <c r="R18" s="67">
        <f>Daten!R24</f>
        <v>4244.6983110758356</v>
      </c>
      <c r="S18" s="68">
        <f>Daten!S24</f>
        <v>2343</v>
      </c>
      <c r="T18" s="65">
        <f>Daten!T24</f>
        <v>3932.5983110758357</v>
      </c>
      <c r="U18" s="65">
        <f>Daten!U24</f>
        <v>93</v>
      </c>
      <c r="V18" s="65">
        <f>Daten!V24</f>
        <v>450</v>
      </c>
      <c r="W18" s="69">
        <f>Daten!W24</f>
        <v>2700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gbzmFc5MW6demQeewlNNXsnKxjvSB4fgXjc6CCORl8erFYzMFjn0Usojt5wSg+eo5Ftgnhhnwku34zkn9wIqag==" saltValue="4EGCeMYsy747SS7CC9H2Tw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F463B1C-26C5-4F44-B72C-30E843837D59}">
          <x14:formula1>
            <xm:f>Daten!$AA$2:$AA$4</xm:f>
          </x14:formula1>
          <xm:sqref>W2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C82A-ABF2-4E3F-9F05-BCDF2A0B6C91}">
  <sheetPr>
    <tabColor theme="6" tint="0.39997558519241921"/>
    <pageSetUpPr fitToPage="1"/>
  </sheetPr>
  <dimension ref="A1:Y100"/>
  <sheetViews>
    <sheetView windowProtection="1" zoomScale="85" zoomScaleNormal="85" zoomScaleSheetLayoutView="85" workbookViewId="0">
      <selection activeCell="Q8" sqref="Q8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2067 mm</v>
      </c>
      <c r="C10" s="82" t="str">
        <f>IFERROR(IF(C18="-","= 0 mm","= " &amp; TEXT(C18,"#")&amp;" mm"),"")</f>
        <v>= 4000 mm</v>
      </c>
      <c r="D10" s="82" t="str">
        <f>IFERROR(IF(D18="-","= 0 mm","= " &amp; TEXT(D18,"#")&amp;" mm"),"")</f>
        <v>= 2285 mm</v>
      </c>
      <c r="E10" s="82" t="str">
        <f>IFERROR(IF(E18="-","0 mm =",TEXT(E18,"#")&amp;" mm ="),"")</f>
        <v>500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2,6°</v>
      </c>
      <c r="I10" s="82" t="str">
        <f t="shared" ref="I10:W10" si="0">IFERROR(IF(I18="-","= 0 mm","= " &amp; TEXT(I18,"#")&amp;" mm"),"")</f>
        <v>= 3400 mm</v>
      </c>
      <c r="J10" s="82" t="str">
        <f t="shared" si="0"/>
        <v>= 3880 mm</v>
      </c>
      <c r="K10" s="82" t="str">
        <f t="shared" si="0"/>
        <v>= 0 mm</v>
      </c>
      <c r="L10" s="82" t="str">
        <f t="shared" si="0"/>
        <v>= 3500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3302 mm</v>
      </c>
      <c r="P10" s="82" t="str">
        <f t="shared" si="0"/>
        <v>= 2525 mm</v>
      </c>
      <c r="Q10" s="82" t="str">
        <f t="shared" si="0"/>
        <v>= 3498 mm</v>
      </c>
      <c r="R10" s="82" t="str">
        <f t="shared" si="0"/>
        <v>= 3694 mm</v>
      </c>
      <c r="S10" s="82" t="str">
        <f t="shared" si="0"/>
        <v>= 2287 mm</v>
      </c>
      <c r="T10" s="82" t="str">
        <f t="shared" si="0"/>
        <v>= 3302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2287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33</v>
      </c>
      <c r="B18" s="96">
        <f>Daten!B25</f>
        <v>2066.5</v>
      </c>
      <c r="C18" s="61">
        <v>4000</v>
      </c>
      <c r="D18" s="70">
        <v>2285</v>
      </c>
      <c r="E18" s="97">
        <v>500</v>
      </c>
      <c r="F18" s="62" t="str">
        <f>Daten!F25</f>
        <v>-</v>
      </c>
      <c r="G18" s="62" t="str">
        <f>Daten!G25</f>
        <v>-</v>
      </c>
      <c r="H18" s="63">
        <f>Daten!H25</f>
        <v>2.6430685537056617</v>
      </c>
      <c r="I18" s="64">
        <f>Daten!I25</f>
        <v>3400</v>
      </c>
      <c r="J18" s="65">
        <f>Daten!J25</f>
        <v>3880</v>
      </c>
      <c r="K18" s="65" t="str">
        <f>Daten!K25</f>
        <v>-</v>
      </c>
      <c r="L18" s="65">
        <f>Daten!L25</f>
        <v>3500</v>
      </c>
      <c r="M18" s="65" t="str">
        <f>Daten!M25</f>
        <v>-</v>
      </c>
      <c r="N18" s="65" t="str">
        <f>Daten!N25</f>
        <v>-</v>
      </c>
      <c r="O18" s="65">
        <f>Daten!O25</f>
        <v>3302</v>
      </c>
      <c r="P18" s="65">
        <f>Daten!P25</f>
        <v>2524.5</v>
      </c>
      <c r="Q18" s="66">
        <f>Daten!Q25</f>
        <v>3498</v>
      </c>
      <c r="R18" s="67">
        <f>Daten!R25</f>
        <v>3694</v>
      </c>
      <c r="S18" s="68">
        <f>Daten!S25</f>
        <v>2286.5</v>
      </c>
      <c r="T18" s="65">
        <f>Daten!T25</f>
        <v>3302</v>
      </c>
      <c r="U18" s="65" t="str">
        <f>Daten!U25</f>
        <v>-</v>
      </c>
      <c r="V18" s="65" t="str">
        <f>Daten!V25</f>
        <v>-</v>
      </c>
      <c r="W18" s="69">
        <f>Daten!W25</f>
        <v>2286.5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kYggAkvsh2rMJX/RdC4ipjRRqf20j0V4Enq0VpKgzThPyuF/zja8Erjx5p0R6/Xe7cZSsUkXgoKqAdOXfnqTAw==" saltValue="s0Nuh8R1CUllXVQieJN0Rw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12413E-4161-4DE9-9570-F1FC38275E0E}">
          <x14:formula1>
            <xm:f>Daten!$AA$2:$AA$4</xm:f>
          </x14:formula1>
          <xm:sqref>W2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3066-DF58-46FC-9C3A-14DB0F55D721}">
  <sheetPr>
    <tabColor rgb="FF97B953"/>
    <pageSetUpPr fitToPage="1"/>
  </sheetPr>
  <dimension ref="A1:Y100"/>
  <sheetViews>
    <sheetView windowProtection="1" zoomScale="85" zoomScaleNormal="85" zoomScaleSheetLayoutView="85" workbookViewId="0">
      <selection activeCell="Q10" sqref="Q10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2242 mm</v>
      </c>
      <c r="C10" s="82" t="str">
        <f>IFERROR(IF(C18="-","= 0 mm","= " &amp; TEXT(C18,"#")&amp;" mm"),"")</f>
        <v>= 4306 mm</v>
      </c>
      <c r="D10" s="82" t="str">
        <f>IFERROR(IF(D18="-","= 0 mm","= " &amp; TEXT(D18,"#")&amp;" mm"),"")</f>
        <v>= 2461 mm</v>
      </c>
      <c r="E10" s="82" t="str">
        <f>IFERROR(IF(E18="-","0 mm =",TEXT(E18,"#")&amp;" mm ="),"")</f>
        <v>120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2,1°</v>
      </c>
      <c r="I10" s="82" t="str">
        <f t="shared" ref="I10:W10" si="0">IFERROR(IF(I18="-","= 0 mm","= " &amp; TEXT(I18,"#")&amp;" mm"),"")</f>
        <v>= 4206 mm</v>
      </c>
      <c r="J10" s="82" t="str">
        <f t="shared" si="0"/>
        <v>= 4306 mm</v>
      </c>
      <c r="K10" s="82" t="str">
        <f t="shared" si="0"/>
        <v>= 0 mm</v>
      </c>
      <c r="L10" s="82" t="str">
        <f t="shared" si="0"/>
        <v>= 4306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4108 mm</v>
      </c>
      <c r="P10" s="82" t="str">
        <f t="shared" si="0"/>
        <v>= 2700 mm</v>
      </c>
      <c r="Q10" s="82" t="str">
        <f t="shared" si="0"/>
        <v>= 4304 mm</v>
      </c>
      <c r="R10" s="82" t="str">
        <f t="shared" si="0"/>
        <v>= 4500 mm</v>
      </c>
      <c r="S10" s="82" t="str">
        <f t="shared" si="0"/>
        <v>= 2462 mm</v>
      </c>
      <c r="T10" s="82" t="str">
        <f t="shared" si="0"/>
        <v>= 4108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2462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34</v>
      </c>
      <c r="B18" s="96">
        <f>Daten!B26</f>
        <v>2242</v>
      </c>
      <c r="C18" s="61">
        <v>4306</v>
      </c>
      <c r="D18" s="70">
        <v>2460.5</v>
      </c>
      <c r="E18" s="94">
        <f>Daten!E26</f>
        <v>120</v>
      </c>
      <c r="F18" s="62" t="str">
        <f>Daten!F26</f>
        <v>-</v>
      </c>
      <c r="G18" s="62" t="str">
        <f>Daten!G26</f>
        <v>-</v>
      </c>
      <c r="H18" s="63">
        <f>Daten!H26</f>
        <v>2.1324852668144909</v>
      </c>
      <c r="I18" s="64">
        <f>Daten!I26</f>
        <v>4206</v>
      </c>
      <c r="J18" s="65">
        <f>Daten!J26</f>
        <v>4306</v>
      </c>
      <c r="K18" s="65" t="str">
        <f>Daten!K26</f>
        <v>-</v>
      </c>
      <c r="L18" s="65">
        <f>Daten!L26</f>
        <v>4306</v>
      </c>
      <c r="M18" s="65" t="str">
        <f>Daten!M26</f>
        <v>-</v>
      </c>
      <c r="N18" s="65" t="str">
        <f>Daten!N26</f>
        <v>-</v>
      </c>
      <c r="O18" s="65">
        <f>Daten!O26</f>
        <v>4108</v>
      </c>
      <c r="P18" s="65">
        <f>Daten!P26</f>
        <v>2700</v>
      </c>
      <c r="Q18" s="66">
        <f>Daten!Q26</f>
        <v>4304</v>
      </c>
      <c r="R18" s="67">
        <f>Daten!R26</f>
        <v>4500</v>
      </c>
      <c r="S18" s="68">
        <f>Daten!S26</f>
        <v>2462</v>
      </c>
      <c r="T18" s="65">
        <f>Daten!T26</f>
        <v>4108</v>
      </c>
      <c r="U18" s="65" t="str">
        <f>Daten!U26</f>
        <v>-</v>
      </c>
      <c r="V18" s="65" t="str">
        <f>Daten!V26</f>
        <v>-</v>
      </c>
      <c r="W18" s="69">
        <f>Daten!W26</f>
        <v>2462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dce1HQDk6t003cZORZ27jiBUMdvtweYJMePG21Br7CZtgx9KBRO+ojjaKl5qh7cE4HBGn7xHlpVn1RCMXWJxug==" saltValue="86/CP21Daxifj3LRcLBYRA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69931D-5077-413F-B108-168A0E1E6746}">
          <x14:formula1>
            <xm:f>Daten!$AA$2:$AA$4</xm:f>
          </x14:formula1>
          <xm:sqref>W2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19F0-D3D6-49DF-872A-AC1D607C527C}">
  <sheetPr>
    <tabColor theme="6" tint="-0.249977111117893"/>
    <pageSetUpPr fitToPage="1"/>
  </sheetPr>
  <dimension ref="A1:Y100"/>
  <sheetViews>
    <sheetView windowProtection="1" zoomScale="85" zoomScaleNormal="85" zoomScaleSheetLayoutView="85" workbookViewId="0">
      <selection activeCell="Q9" sqref="Q9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2182 mm</v>
      </c>
      <c r="C10" s="82" t="str">
        <f>IFERROR(IF(C18="-","= 0 mm","= " &amp; TEXT(C18,"#")&amp;" mm"),"")</f>
        <v>= 4000 mm</v>
      </c>
      <c r="D10" s="82" t="str">
        <f>IFERROR(IF(D18="-","= 0 mm","= " &amp; TEXT(D18,"#")&amp;" mm"),"")</f>
        <v>= 2400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2,3°</v>
      </c>
      <c r="I10" s="82" t="str">
        <f t="shared" ref="I10:W10" si="0">IFERROR(IF(I18="-","= 0 mm","= " &amp; TEXT(I18,"#")&amp;" mm"),"")</f>
        <v>= 3900 mm</v>
      </c>
      <c r="J10" s="82" t="str">
        <f t="shared" si="0"/>
        <v>= 3880 mm</v>
      </c>
      <c r="K10" s="82" t="str">
        <f t="shared" si="0"/>
        <v>= 4000 mm</v>
      </c>
      <c r="L10" s="82" t="str">
        <f t="shared" si="0"/>
        <v>= 4000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3802 mm</v>
      </c>
      <c r="P10" s="82" t="str">
        <f t="shared" si="0"/>
        <v>= 2640 mm</v>
      </c>
      <c r="Q10" s="82" t="str">
        <f t="shared" si="0"/>
        <v>= 3998 mm</v>
      </c>
      <c r="R10" s="82" t="str">
        <f t="shared" si="0"/>
        <v>= 4194 mm</v>
      </c>
      <c r="S10" s="82" t="str">
        <f t="shared" si="0"/>
        <v>= 2402 mm</v>
      </c>
      <c r="T10" s="82" t="str">
        <f t="shared" si="0"/>
        <v>= 3802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2402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35</v>
      </c>
      <c r="B18" s="96">
        <f>Daten!B27</f>
        <v>2181.5</v>
      </c>
      <c r="C18" s="61">
        <v>4000</v>
      </c>
      <c r="D18" s="70">
        <v>2400</v>
      </c>
      <c r="E18" s="94" t="str">
        <f>Daten!E27</f>
        <v>-</v>
      </c>
      <c r="F18" s="62" t="str">
        <f>Daten!F27</f>
        <v>-</v>
      </c>
      <c r="G18" s="62" t="str">
        <f>Daten!G27</f>
        <v>-</v>
      </c>
      <c r="H18" s="63">
        <f>Daten!H27</f>
        <v>2.3012746606665702</v>
      </c>
      <c r="I18" s="64">
        <f>Daten!I27</f>
        <v>3900</v>
      </c>
      <c r="J18" s="65">
        <f>Daten!J27</f>
        <v>3880</v>
      </c>
      <c r="K18" s="65">
        <f>Daten!K27</f>
        <v>4000</v>
      </c>
      <c r="L18" s="65">
        <f>Daten!L27</f>
        <v>4000</v>
      </c>
      <c r="M18" s="65" t="str">
        <f>Daten!M27</f>
        <v>-</v>
      </c>
      <c r="N18" s="65" t="str">
        <f>Daten!N27</f>
        <v>-</v>
      </c>
      <c r="O18" s="65">
        <f>Daten!O27</f>
        <v>3802</v>
      </c>
      <c r="P18" s="65">
        <f>Daten!P27</f>
        <v>2639.5</v>
      </c>
      <c r="Q18" s="66">
        <f>Daten!Q27</f>
        <v>3998</v>
      </c>
      <c r="R18" s="67">
        <f>Daten!R27</f>
        <v>4194</v>
      </c>
      <c r="S18" s="68">
        <f>Daten!S27</f>
        <v>2401.5</v>
      </c>
      <c r="T18" s="65">
        <f>Daten!T27</f>
        <v>3802</v>
      </c>
      <c r="U18" s="65" t="str">
        <f>Daten!U27</f>
        <v>-</v>
      </c>
      <c r="V18" s="65" t="str">
        <f>Daten!V27</f>
        <v>-</v>
      </c>
      <c r="W18" s="69">
        <f>Daten!W27</f>
        <v>2401.5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pD0MgNTTt3XLtxETa3Ob3ygKH/G1+/uwt5gQLECmstf2li3INYHTbesrH1k9zQeYRyrRmAZfCVX9ybCVQrn24Q==" saltValue="f/7eoyx955pq5QvkzJ9VGQ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E416D4-3CBB-40FF-B1C0-9568CEAA2EF8}">
          <x14:formula1>
            <xm:f>Daten!$AA$2:$AA$4</xm:f>
          </x14:formula1>
          <xm:sqref>W2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0A5A-9F96-458E-81BD-D5D969F8B118}">
  <sheetPr>
    <tabColor theme="8" tint="0.59999389629810485"/>
    <pageSetUpPr fitToPage="1"/>
  </sheetPr>
  <dimension ref="A1:Y100"/>
  <sheetViews>
    <sheetView windowProtection="1" zoomScale="85" zoomScaleNormal="85" zoomScaleSheetLayoutView="85" workbookViewId="0">
      <selection activeCell="R8" sqref="R8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2300 mm</v>
      </c>
      <c r="C10" s="82" t="str">
        <f>IFERROR(IF(C18="-","= 0 mm","= " &amp; TEXT(C18,"#")&amp;" mm"),"")</f>
        <v>= 5000 mm</v>
      </c>
      <c r="D10" s="82" t="str">
        <f>IFERROR(IF(D18="-","= 0 mm","= " &amp; TEXT(D18,"#")&amp;" mm"),"")</f>
        <v>= 2300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1,1°</v>
      </c>
      <c r="I10" s="82" t="str">
        <f t="shared" ref="I10:W10" si="0">IFERROR(IF(I18="-","= 0 mm","= " &amp; TEXT(I18,"#")&amp;" mm"),"")</f>
        <v>= 4920 mm</v>
      </c>
      <c r="J10" s="82" t="str">
        <f t="shared" si="0"/>
        <v>= 4916 mm</v>
      </c>
      <c r="K10" s="82" t="str">
        <f t="shared" si="0"/>
        <v>= 4916 mm</v>
      </c>
      <c r="L10" s="82" t="str">
        <f t="shared" si="0"/>
        <v>= 5000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4840 mm</v>
      </c>
      <c r="P10" s="82" t="str">
        <f t="shared" si="0"/>
        <v>= 2542 mm</v>
      </c>
      <c r="Q10" s="82" t="str">
        <f t="shared" si="0"/>
        <v>= 5000 mm</v>
      </c>
      <c r="R10" s="82" t="str">
        <f t="shared" si="0"/>
        <v>= 0 mm</v>
      </c>
      <c r="S10" s="82" t="str">
        <f t="shared" si="0"/>
        <v>= 2300 mm</v>
      </c>
      <c r="T10" s="82" t="str">
        <f t="shared" si="0"/>
        <v>= 4840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2300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87</v>
      </c>
      <c r="B18" s="95">
        <v>2300</v>
      </c>
      <c r="C18" s="61">
        <v>5000</v>
      </c>
      <c r="D18" s="94">
        <f>Daten!D28</f>
        <v>2300</v>
      </c>
      <c r="E18" s="94" t="str">
        <f>Daten!E28</f>
        <v>-</v>
      </c>
      <c r="F18" s="62" t="str">
        <f>Daten!F28</f>
        <v>-</v>
      </c>
      <c r="G18" s="62" t="str">
        <f>Daten!G28</f>
        <v>-</v>
      </c>
      <c r="H18" s="63">
        <f>Daten!H28</f>
        <v>1.1298305003866769</v>
      </c>
      <c r="I18" s="64">
        <f>Daten!I28</f>
        <v>4920</v>
      </c>
      <c r="J18" s="65">
        <f>Daten!J28</f>
        <v>4916</v>
      </c>
      <c r="K18" s="65">
        <f>Daten!K28</f>
        <v>4916</v>
      </c>
      <c r="L18" s="65">
        <f>Daten!L28</f>
        <v>5000</v>
      </c>
      <c r="M18" s="65" t="str">
        <f>Daten!M28</f>
        <v>-</v>
      </c>
      <c r="N18" s="65" t="str">
        <f>Daten!N28</f>
        <v>-</v>
      </c>
      <c r="O18" s="65">
        <f>Daten!O28</f>
        <v>4840</v>
      </c>
      <c r="P18" s="65">
        <f>Daten!P28</f>
        <v>2542.1</v>
      </c>
      <c r="Q18" s="66">
        <f>Daten!Q28</f>
        <v>5000</v>
      </c>
      <c r="R18" s="67" t="str">
        <f>Daten!R28</f>
        <v>-</v>
      </c>
      <c r="S18" s="68">
        <f>Daten!S28</f>
        <v>2300</v>
      </c>
      <c r="T18" s="65">
        <f>Daten!T28</f>
        <v>4840</v>
      </c>
      <c r="U18" s="65" t="str">
        <f>Daten!U28</f>
        <v>-</v>
      </c>
      <c r="V18" s="65" t="str">
        <f>Daten!V28</f>
        <v>-</v>
      </c>
      <c r="W18" s="69">
        <f>Daten!W28</f>
        <v>2300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ljpWKVqoOHxufr/Eo02lxfwBZ4WUSokCtplVAtvW9O+2Hc94GTphr+bDcX86G8NwEu4w8oe8rgVsvYX/z+4HXA==" saltValue="l6fYUOlCqc5el6mVNSe5pg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BCC5D4-6D06-4B06-B6CF-B89E86E6689E}">
          <x14:formula1>
            <xm:f>Daten!$AA$2:$AA$4</xm:f>
          </x14:formula1>
          <xm:sqref>W2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86FA-CE26-4460-9609-ED58C1FCED7A}">
  <sheetPr>
    <tabColor theme="8" tint="0.39997558519241921"/>
    <pageSetUpPr fitToPage="1"/>
  </sheetPr>
  <dimension ref="A1:Y100"/>
  <sheetViews>
    <sheetView windowProtection="1" zoomScale="85" zoomScaleNormal="85" zoomScaleSheetLayoutView="85" workbookViewId="0">
      <selection activeCell="S9" sqref="S9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2300 mm</v>
      </c>
      <c r="C10" s="82" t="str">
        <f>IFERROR(IF(C18="-","= 0 mm","= " &amp; TEXT(C18,"#")&amp;" mm"),"")</f>
        <v>= 5000 mm</v>
      </c>
      <c r="D10" s="82" t="str">
        <f>IFERROR(IF(D18="-","= 0 mm","= " &amp; TEXT(D18,"#")&amp;" mm"),"")</f>
        <v>= 2300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1,1°</v>
      </c>
      <c r="I10" s="82" t="str">
        <f t="shared" ref="I10:W10" si="0">IFERROR(IF(I18="-","= 0 mm","= " &amp; TEXT(I18,"#")&amp;" mm"),"")</f>
        <v>= 4760 mm</v>
      </c>
      <c r="J10" s="82" t="str">
        <f t="shared" si="0"/>
        <v>= 4874 mm</v>
      </c>
      <c r="K10" s="82" t="str">
        <f t="shared" si="0"/>
        <v>= 4874 mm</v>
      </c>
      <c r="L10" s="82" t="str">
        <f t="shared" si="0"/>
        <v>= 4840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4680 mm</v>
      </c>
      <c r="P10" s="82" t="str">
        <f t="shared" si="0"/>
        <v>= 2542 mm</v>
      </c>
      <c r="Q10" s="82" t="str">
        <f t="shared" si="0"/>
        <v>= 4840 mm</v>
      </c>
      <c r="R10" s="82" t="str">
        <f t="shared" si="0"/>
        <v>= 5000 mm</v>
      </c>
      <c r="S10" s="82" t="str">
        <f t="shared" si="0"/>
        <v>= 2300 mm</v>
      </c>
      <c r="T10" s="82" t="str">
        <f t="shared" si="0"/>
        <v>= 4680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2300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92</v>
      </c>
      <c r="B18" s="95">
        <v>2300</v>
      </c>
      <c r="C18" s="61">
        <v>5000</v>
      </c>
      <c r="D18" s="94">
        <f>Daten!D29</f>
        <v>2300</v>
      </c>
      <c r="E18" s="94" t="str">
        <f>Daten!E29</f>
        <v>-</v>
      </c>
      <c r="F18" s="62" t="str">
        <f>Daten!F29</f>
        <v>-</v>
      </c>
      <c r="G18" s="62" t="str">
        <f>Daten!G29</f>
        <v>-</v>
      </c>
      <c r="H18" s="63">
        <f>Daten!H29</f>
        <v>1.1326514032868704</v>
      </c>
      <c r="I18" s="64">
        <f>Daten!I29</f>
        <v>4760</v>
      </c>
      <c r="J18" s="65">
        <f>Daten!J29</f>
        <v>4874</v>
      </c>
      <c r="K18" s="65">
        <f>Daten!K29</f>
        <v>4874</v>
      </c>
      <c r="L18" s="65">
        <f>Daten!L29</f>
        <v>4840</v>
      </c>
      <c r="M18" s="65" t="str">
        <f>Daten!M29</f>
        <v>-</v>
      </c>
      <c r="N18" s="65" t="str">
        <f>Daten!N29</f>
        <v>-</v>
      </c>
      <c r="O18" s="65">
        <f>Daten!O29</f>
        <v>4680</v>
      </c>
      <c r="P18" s="65">
        <f>Daten!P29</f>
        <v>2542.1</v>
      </c>
      <c r="Q18" s="66">
        <f>Daten!Q29</f>
        <v>4840</v>
      </c>
      <c r="R18" s="67">
        <f>Daten!R29</f>
        <v>5000</v>
      </c>
      <c r="S18" s="68">
        <f>Daten!S29</f>
        <v>2300</v>
      </c>
      <c r="T18" s="65">
        <f>Daten!T29</f>
        <v>4680</v>
      </c>
      <c r="U18" s="65" t="str">
        <f>Daten!U29</f>
        <v>-</v>
      </c>
      <c r="V18" s="65" t="str">
        <f>Daten!V29</f>
        <v>-</v>
      </c>
      <c r="W18" s="69">
        <f>Daten!W29</f>
        <v>2300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9kWftByVuYLhuqOCeb6WkAPsWQXDiHNj0XnzOiXPWf1FqsLEScnKKgQMRGkix/nOapqshRUpzo+SKKmnncmhSQ==" saltValue="TUc41lkIApblxILta6S5aQ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F47990-11FB-43B3-8DEA-B9F62D91A634}">
          <x14:formula1>
            <xm:f>Daten!$AA$2:$AA$4</xm:f>
          </x14:formula1>
          <xm:sqref>W2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21F7-524A-465A-8A8E-62F817EA0779}">
  <sheetPr>
    <tabColor theme="7" tint="-0.249977111117893"/>
    <pageSetUpPr fitToPage="1"/>
  </sheetPr>
  <dimension ref="A1:Y100"/>
  <sheetViews>
    <sheetView windowProtection="1" zoomScale="85" zoomScaleNormal="85" zoomScaleSheetLayoutView="85" workbookViewId="0">
      <selection activeCell="S7" sqref="S7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2300 mm</v>
      </c>
      <c r="C10" s="82" t="str">
        <f>IFERROR(IF(C18="-","= 0 mm","= " &amp; TEXT(C18,"#")&amp;" mm"),"")</f>
        <v>= 5000 mm</v>
      </c>
      <c r="D10" s="82" t="str">
        <f>IFERROR(IF(D18="-","= 0 mm","= " &amp; TEXT(D18,"#")&amp;" mm"),"")</f>
        <v>= 2300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0,3°</v>
      </c>
      <c r="I10" s="82" t="str">
        <f t="shared" ref="I10:W10" si="0">IFERROR(IF(I18="-","= 0 mm","= " &amp; TEXT(I18,"#")&amp;" mm"),"")</f>
        <v>= 4920 mm</v>
      </c>
      <c r="J10" s="82" t="str">
        <f t="shared" si="0"/>
        <v>= 0 mm</v>
      </c>
      <c r="K10" s="82" t="str">
        <f t="shared" si="0"/>
        <v>= 4916 mm</v>
      </c>
      <c r="L10" s="82" t="str">
        <f t="shared" si="0"/>
        <v>= 5000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4840 mm</v>
      </c>
      <c r="P10" s="82" t="str">
        <f t="shared" si="0"/>
        <v>= 2542 mm</v>
      </c>
      <c r="Q10" s="82" t="str">
        <f t="shared" si="0"/>
        <v>= 5000 mm</v>
      </c>
      <c r="R10" s="82" t="str">
        <f t="shared" si="0"/>
        <v>= 0 mm</v>
      </c>
      <c r="S10" s="82" t="str">
        <f t="shared" si="0"/>
        <v>= 2300 mm</v>
      </c>
      <c r="T10" s="82" t="str">
        <f t="shared" si="0"/>
        <v>= 4840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2300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100</v>
      </c>
      <c r="B18" s="95">
        <v>2300</v>
      </c>
      <c r="C18" s="61">
        <v>5000</v>
      </c>
      <c r="D18" s="94">
        <f>Daten!D30</f>
        <v>2300</v>
      </c>
      <c r="E18" s="94" t="str">
        <f>Daten!E30</f>
        <v>-</v>
      </c>
      <c r="F18" s="62" t="str">
        <f>Daten!F30</f>
        <v>-</v>
      </c>
      <c r="G18" s="62" t="str">
        <f>Daten!G30</f>
        <v>-</v>
      </c>
      <c r="H18" s="63">
        <f>Daten!H30</f>
        <v>0.33491932233163285</v>
      </c>
      <c r="I18" s="64">
        <f>Daten!I30</f>
        <v>4920</v>
      </c>
      <c r="J18" s="65" t="str">
        <f>Daten!J30</f>
        <v>-</v>
      </c>
      <c r="K18" s="65">
        <f>Daten!K30</f>
        <v>4916</v>
      </c>
      <c r="L18" s="65">
        <f>Daten!L30</f>
        <v>5000</v>
      </c>
      <c r="M18" s="65" t="str">
        <f>Daten!M30</f>
        <v>-</v>
      </c>
      <c r="N18" s="65" t="str">
        <f>Daten!N30</f>
        <v>-</v>
      </c>
      <c r="O18" s="65">
        <f>Daten!O30</f>
        <v>4840</v>
      </c>
      <c r="P18" s="65">
        <f>Daten!P30</f>
        <v>2542.1</v>
      </c>
      <c r="Q18" s="66">
        <f>Daten!Q30</f>
        <v>5000</v>
      </c>
      <c r="R18" s="67" t="str">
        <f>Daten!R30</f>
        <v>-</v>
      </c>
      <c r="S18" s="68">
        <f>Daten!S30</f>
        <v>2300</v>
      </c>
      <c r="T18" s="65">
        <f>Daten!T30</f>
        <v>4840</v>
      </c>
      <c r="U18" s="65" t="str">
        <f>Daten!U30</f>
        <v>-</v>
      </c>
      <c r="V18" s="65" t="str">
        <f>Daten!V30</f>
        <v>-</v>
      </c>
      <c r="W18" s="69">
        <f>Daten!W30</f>
        <v>2300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lzE506YvKTU4msnxKVCJNO9+VKSR42RSbTdLV9kD0nHm4Q3GbBw3r2s7iMzGz/cVGDMjgnsR23JFEBgZxrgW4g==" saltValue="r4X0U7c8rXyj7YMZrqaNUw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F5791A-9979-420C-8B72-D760FE14D06E}">
          <x14:formula1>
            <xm:f>Daten!$AA$2:$AA$4</xm:f>
          </x14:formula1>
          <xm:sqref>W2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13C4-C41E-4358-ADDA-4682D3FBAC3B}">
  <sheetPr>
    <tabColor theme="7" tint="-0.499984740745262"/>
    <pageSetUpPr fitToPage="1"/>
  </sheetPr>
  <dimension ref="A1:Y100"/>
  <sheetViews>
    <sheetView windowProtection="1" zoomScale="85" zoomScaleNormal="85" zoomScaleSheetLayoutView="85" workbookViewId="0">
      <selection activeCell="S10" sqref="S10"/>
    </sheetView>
  </sheetViews>
  <sheetFormatPr baseColWidth="10" defaultColWidth="9.1640625" defaultRowHeight="15" x14ac:dyDescent="0.2"/>
  <cols>
    <col min="1" max="1" width="30.83203125" style="93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16384" width="9.1640625" style="93"/>
  </cols>
  <sheetData>
    <row r="1" spans="1:25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</row>
    <row r="2" spans="1:25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</row>
    <row r="3" spans="1:25" s="74" customFormat="1" ht="30" customHeight="1" x14ac:dyDescent="0.2">
      <c r="A3" s="75"/>
      <c r="U3" s="72"/>
      <c r="V3" s="72"/>
      <c r="W3" s="76"/>
    </row>
    <row r="4" spans="1:25" s="74" customFormat="1" ht="30" customHeight="1" x14ac:dyDescent="0.2">
      <c r="A4" s="75"/>
      <c r="W4" s="77"/>
    </row>
    <row r="5" spans="1:25" s="74" customFormat="1" ht="30" customHeight="1" x14ac:dyDescent="0.2">
      <c r="A5" s="75"/>
      <c r="W5" s="77"/>
    </row>
    <row r="6" spans="1:25" s="74" customFormat="1" ht="30" customHeight="1" x14ac:dyDescent="0.2">
      <c r="A6" s="75"/>
      <c r="W6" s="77"/>
    </row>
    <row r="7" spans="1:25" s="74" customFormat="1" ht="30" customHeight="1" x14ac:dyDescent="0.2">
      <c r="A7" s="75"/>
      <c r="W7" s="77"/>
    </row>
    <row r="8" spans="1:25" s="74" customFormat="1" ht="30" customHeight="1" x14ac:dyDescent="0.2">
      <c r="A8" s="75"/>
      <c r="W8" s="77"/>
    </row>
    <row r="9" spans="1:25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1:25" s="85" customFormat="1" ht="30" customHeight="1" thickBot="1" x14ac:dyDescent="0.25">
      <c r="A10" s="81"/>
      <c r="B10" s="82" t="str">
        <f>IFERROR(IF(B18="-","= 0 mm","= " &amp; TEXT(B18,"#")&amp;" mm"),"")</f>
        <v>= 2300 mm</v>
      </c>
      <c r="C10" s="82" t="str">
        <f>IFERROR(IF(C18="-","= 0 mm","= " &amp; TEXT(C18,"#")&amp;" mm"),"")</f>
        <v>= 5000 mm</v>
      </c>
      <c r="D10" s="82" t="str">
        <f>IFERROR(IF(D18="-","= 0 mm","= " &amp; TEXT(D18,"#")&amp;" mm"),"")</f>
        <v>= 2300 mm</v>
      </c>
      <c r="E10" s="82" t="str">
        <f>IFERROR(IF(E18="-","0 mm =",TEXT(E18,"#")&amp;" mm ="),"")</f>
        <v>0 mm =</v>
      </c>
      <c r="F10" s="82" t="str">
        <f>IFERROR(IF(F18="-","= 0°","= " &amp; TEXT(F18,"0,0")&amp;"°"),"")</f>
        <v>= 0°</v>
      </c>
      <c r="G10" s="82" t="str">
        <f>IFERROR(IF(G18="-","= 0 mm/m","= " &amp; TEXT(G18,"0,0")&amp;" mm/m"),"")</f>
        <v>= 0 mm/m</v>
      </c>
      <c r="H10" s="83" t="str">
        <f>IFERROR(IF(H18="-","= 0°","= " &amp; TEXT(H18,"0,0")&amp;"°"),"")</f>
        <v>= 0,3°</v>
      </c>
      <c r="I10" s="82" t="str">
        <f t="shared" ref="I10:W10" si="0">IFERROR(IF(I18="-","= 0 mm","= " &amp; TEXT(I18,"#")&amp;" mm"),"")</f>
        <v>= 4760 mm</v>
      </c>
      <c r="J10" s="82" t="str">
        <f t="shared" si="0"/>
        <v>= 0 mm</v>
      </c>
      <c r="K10" s="82" t="str">
        <f t="shared" si="0"/>
        <v>= 4874 mm</v>
      </c>
      <c r="L10" s="82" t="str">
        <f t="shared" si="0"/>
        <v>= 4840 mm</v>
      </c>
      <c r="M10" s="82" t="str">
        <f t="shared" si="0"/>
        <v>= 0 mm</v>
      </c>
      <c r="N10" s="82" t="str">
        <f t="shared" si="0"/>
        <v>= 0 mm</v>
      </c>
      <c r="O10" s="82" t="str">
        <f t="shared" si="0"/>
        <v>= 4680 mm</v>
      </c>
      <c r="P10" s="82" t="str">
        <f t="shared" si="0"/>
        <v>= 2542 mm</v>
      </c>
      <c r="Q10" s="82" t="str">
        <f t="shared" si="0"/>
        <v>= 4840 mm</v>
      </c>
      <c r="R10" s="82" t="str">
        <f t="shared" si="0"/>
        <v>= 5000 mm</v>
      </c>
      <c r="S10" s="82" t="str">
        <f t="shared" si="0"/>
        <v>= 2300 mm</v>
      </c>
      <c r="T10" s="82" t="str">
        <f t="shared" si="0"/>
        <v>= 4680 mm</v>
      </c>
      <c r="U10" s="82" t="str">
        <f t="shared" si="0"/>
        <v>= 0 mm</v>
      </c>
      <c r="V10" s="82" t="str">
        <f t="shared" si="0"/>
        <v>= 0 mm</v>
      </c>
      <c r="W10" s="84" t="str">
        <f t="shared" si="0"/>
        <v>= 2300 mm</v>
      </c>
    </row>
    <row r="11" spans="1:25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</row>
    <row r="12" spans="1:25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87"/>
      <c r="Y12" s="87"/>
    </row>
    <row r="13" spans="1:25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87"/>
      <c r="Y13" s="87"/>
    </row>
    <row r="14" spans="1:25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87"/>
      <c r="Y14" s="87"/>
    </row>
    <row r="15" spans="1:25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87"/>
      <c r="Y15" s="87"/>
    </row>
    <row r="16" spans="1:25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87"/>
      <c r="Y16" s="87"/>
    </row>
    <row r="17" spans="1:25" s="74" customFormat="1" ht="35" customHeight="1" x14ac:dyDescent="0.2">
      <c r="A17" s="89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2"/>
      <c r="T17" s="200"/>
      <c r="U17" s="200"/>
      <c r="V17" s="200"/>
      <c r="W17" s="203"/>
      <c r="X17" s="13"/>
      <c r="Y17" s="8"/>
    </row>
    <row r="18" spans="1:25" s="74" customFormat="1" ht="54.75" customHeight="1" thickBot="1" x14ac:dyDescent="0.25">
      <c r="A18" s="90" t="s">
        <v>101</v>
      </c>
      <c r="B18" s="95">
        <v>2300</v>
      </c>
      <c r="C18" s="61">
        <v>5000</v>
      </c>
      <c r="D18" s="94">
        <f>Daten!D31</f>
        <v>2300</v>
      </c>
      <c r="E18" s="94" t="str">
        <f>Daten!E31</f>
        <v>-</v>
      </c>
      <c r="F18" s="62" t="str">
        <f>Daten!F31</f>
        <v>-</v>
      </c>
      <c r="G18" s="62" t="str">
        <f>Daten!G31</f>
        <v>-</v>
      </c>
      <c r="H18" s="63">
        <f>Daten!H31</f>
        <v>0.33781074691671442</v>
      </c>
      <c r="I18" s="64">
        <f>Daten!I31</f>
        <v>4760</v>
      </c>
      <c r="J18" s="65" t="str">
        <f>Daten!J31</f>
        <v>-</v>
      </c>
      <c r="K18" s="65">
        <f>Daten!K31</f>
        <v>4874</v>
      </c>
      <c r="L18" s="65">
        <f>Daten!L31</f>
        <v>4840</v>
      </c>
      <c r="M18" s="65" t="str">
        <f>Daten!M31</f>
        <v>-</v>
      </c>
      <c r="N18" s="65" t="str">
        <f>Daten!N31</f>
        <v>-</v>
      </c>
      <c r="O18" s="65">
        <f>Daten!O31</f>
        <v>4680</v>
      </c>
      <c r="P18" s="65">
        <f>Daten!P31</f>
        <v>2542.1</v>
      </c>
      <c r="Q18" s="66">
        <f>Daten!Q31</f>
        <v>4840</v>
      </c>
      <c r="R18" s="67">
        <f>Daten!R31</f>
        <v>5000</v>
      </c>
      <c r="S18" s="68">
        <f>Daten!S31</f>
        <v>2300</v>
      </c>
      <c r="T18" s="65">
        <f>Daten!T31</f>
        <v>4680</v>
      </c>
      <c r="U18" s="65" t="str">
        <f>Daten!U31</f>
        <v>-</v>
      </c>
      <c r="V18" s="65" t="str">
        <f>Daten!V31</f>
        <v>-</v>
      </c>
      <c r="W18" s="69">
        <f>Daten!W31</f>
        <v>2300</v>
      </c>
      <c r="X18" s="1"/>
      <c r="Y18" s="8"/>
    </row>
    <row r="19" spans="1:25" s="74" customFormat="1" ht="15" customHeight="1" x14ac:dyDescent="0.2">
      <c r="X19" s="1"/>
      <c r="Y19" s="26"/>
    </row>
    <row r="20" spans="1:25" s="74" customFormat="1" ht="15" customHeight="1" x14ac:dyDescent="0.2">
      <c r="X20" s="1"/>
      <c r="Y20" s="26"/>
    </row>
    <row r="21" spans="1:25" s="74" customFormat="1" ht="15" customHeight="1" x14ac:dyDescent="0.2">
      <c r="A21" s="74" t="s">
        <v>94</v>
      </c>
      <c r="L21" s="91"/>
      <c r="M21" s="91"/>
      <c r="N21" s="91"/>
      <c r="X21" s="1"/>
      <c r="Y21" s="8"/>
    </row>
    <row r="22" spans="1:25" s="74" customFormat="1" ht="15" customHeight="1" x14ac:dyDescent="0.2">
      <c r="X22" s="1"/>
      <c r="Y22" s="8"/>
    </row>
    <row r="23" spans="1:25" s="74" customFormat="1" ht="15" customHeight="1" x14ac:dyDescent="0.2">
      <c r="X23" s="1"/>
      <c r="Y23" s="8"/>
    </row>
    <row r="24" spans="1:25" s="74" customFormat="1" ht="15" customHeight="1" x14ac:dyDescent="0.2">
      <c r="X24" s="1"/>
      <c r="Y24" s="92"/>
    </row>
    <row r="25" spans="1:25" s="74" customFormat="1" ht="15" customHeight="1" x14ac:dyDescent="0.2">
      <c r="X25" s="1"/>
      <c r="Y25" s="92"/>
    </row>
    <row r="26" spans="1:25" s="74" customFormat="1" ht="15" customHeight="1" x14ac:dyDescent="0.2">
      <c r="X26" s="1"/>
      <c r="Y26" s="92"/>
    </row>
    <row r="27" spans="1:25" s="74" customFormat="1" x14ac:dyDescent="0.2"/>
    <row r="28" spans="1:25" s="74" customFormat="1" x14ac:dyDescent="0.2"/>
    <row r="29" spans="1:25" s="74" customFormat="1" x14ac:dyDescent="0.2"/>
    <row r="30" spans="1:25" s="74" customFormat="1" x14ac:dyDescent="0.2"/>
    <row r="31" spans="1:25" s="74" customFormat="1" x14ac:dyDescent="0.2"/>
    <row r="32" spans="1:25" s="74" customFormat="1" x14ac:dyDescent="0.2"/>
    <row r="33" s="74" customFormat="1" x14ac:dyDescent="0.2"/>
    <row r="34" s="74" customFormat="1" x14ac:dyDescent="0.2"/>
    <row r="35" s="74" customFormat="1" x14ac:dyDescent="0.2"/>
    <row r="36" s="74" customFormat="1" x14ac:dyDescent="0.2"/>
    <row r="37" s="74" customFormat="1" x14ac:dyDescent="0.2"/>
    <row r="38" s="74" customFormat="1" x14ac:dyDescent="0.2"/>
    <row r="39" s="74" customFormat="1" x14ac:dyDescent="0.2"/>
    <row r="40" s="74" customFormat="1" x14ac:dyDescent="0.2"/>
    <row r="41" s="74" customFormat="1" x14ac:dyDescent="0.2"/>
    <row r="42" s="74" customFormat="1" x14ac:dyDescent="0.2"/>
    <row r="43" s="74" customFormat="1" x14ac:dyDescent="0.2"/>
    <row r="44" s="74" customFormat="1" x14ac:dyDescent="0.2"/>
    <row r="45" s="74" customFormat="1" x14ac:dyDescent="0.2"/>
    <row r="46" s="74" customFormat="1" x14ac:dyDescent="0.2"/>
    <row r="47" s="74" customFormat="1" x14ac:dyDescent="0.2"/>
    <row r="48" s="74" customFormat="1" x14ac:dyDescent="0.2"/>
    <row r="49" s="74" customFormat="1" x14ac:dyDescent="0.2"/>
    <row r="50" s="74" customFormat="1" x14ac:dyDescent="0.2"/>
    <row r="51" s="74" customFormat="1" x14ac:dyDescent="0.2"/>
    <row r="52" s="74" customFormat="1" x14ac:dyDescent="0.2"/>
    <row r="53" s="74" customFormat="1" x14ac:dyDescent="0.2"/>
    <row r="54" s="74" customFormat="1" x14ac:dyDescent="0.2"/>
    <row r="55" s="74" customFormat="1" x14ac:dyDescent="0.2"/>
    <row r="56" s="74" customFormat="1" x14ac:dyDescent="0.2"/>
    <row r="57" s="74" customFormat="1" x14ac:dyDescent="0.2"/>
    <row r="58" s="74" customFormat="1" x14ac:dyDescent="0.2"/>
    <row r="59" s="74" customFormat="1" x14ac:dyDescent="0.2"/>
    <row r="60" s="74" customFormat="1" x14ac:dyDescent="0.2"/>
    <row r="61" s="74" customFormat="1" x14ac:dyDescent="0.2"/>
    <row r="62" s="74" customFormat="1" x14ac:dyDescent="0.2"/>
    <row r="63" s="74" customFormat="1" x14ac:dyDescent="0.2"/>
    <row r="64" s="74" customForma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kta5Rd17EHGE+TII5BCg6spxmRVeyeHu4zQi54Oali/lK3teS9cj3tioMyu2+h8z7UKP+lDgf/K5AS5cvOTFdw==" saltValue="9A5bAewHtW5MLvS+5bE44A==" spinCount="100000" sheet="1" autoFilter="0" pivotTables="0"/>
  <mergeCells count="26">
    <mergeCell ref="T12:T17"/>
    <mergeCell ref="U12:U17"/>
    <mergeCell ref="V12:V17"/>
    <mergeCell ref="W12:W17"/>
    <mergeCell ref="N12:N17"/>
    <mergeCell ref="O12:O17"/>
    <mergeCell ref="P12:P17"/>
    <mergeCell ref="Q12:Q17"/>
    <mergeCell ref="R12:R17"/>
    <mergeCell ref="S12:S17"/>
    <mergeCell ref="M12:M17"/>
    <mergeCell ref="U1:V1"/>
    <mergeCell ref="U2:V2"/>
    <mergeCell ref="A11:R11"/>
    <mergeCell ref="S11:W11"/>
    <mergeCell ref="B12:B17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</mergeCells>
  <pageMargins left="0.7" right="0.7" top="0.75" bottom="0.75" header="0.3" footer="0.3"/>
  <pageSetup paperSize="9" scale="74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296C82F-FAFE-408A-8730-F9269CE2DDBA}">
          <x14:formula1>
            <xm:f>Daten!$AA$2:$AA$4</xm:f>
          </x14:formula1>
          <xm:sqref>W2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>
    <pageSetUpPr fitToPage="1"/>
  </sheetPr>
  <dimension ref="A1:AP100"/>
  <sheetViews>
    <sheetView windowProtection="1" topLeftCell="A7" zoomScale="70" zoomScaleNormal="70" zoomScaleSheetLayoutView="85" workbookViewId="0">
      <selection activeCell="N28" sqref="N28"/>
    </sheetView>
  </sheetViews>
  <sheetFormatPr baseColWidth="10" defaultColWidth="9.1640625" defaultRowHeight="15" x14ac:dyDescent="0.2"/>
  <cols>
    <col min="1" max="1" width="28.6640625" style="93" bestFit="1" customWidth="1"/>
    <col min="2" max="3" width="8.6640625" style="93" customWidth="1"/>
    <col min="4" max="4" width="9.33203125" style="93" customWidth="1"/>
    <col min="5" max="23" width="8.6640625" style="93" customWidth="1"/>
    <col min="24" max="24" width="9.1640625" style="93"/>
    <col min="25" max="25" width="14.83203125" style="93" bestFit="1" customWidth="1"/>
    <col min="26" max="26" width="9.1640625" style="93"/>
    <col min="27" max="28" width="9.1640625" style="93" customWidth="1"/>
    <col min="29" max="31" width="50.6640625" style="93" customWidth="1"/>
    <col min="32" max="16384" width="9.1640625" style="93"/>
  </cols>
  <sheetData>
    <row r="1" spans="1:42" s="74" customFormat="1" ht="30" customHeight="1" x14ac:dyDescent="0.2">
      <c r="A1" s="71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176">
        <f>Orangeline!U1</f>
        <v>45919</v>
      </c>
      <c r="V1" s="177"/>
      <c r="W1" s="73" t="s">
        <v>95</v>
      </c>
      <c r="Z1" s="153"/>
      <c r="AA1" s="153"/>
      <c r="AB1" s="154"/>
      <c r="AC1" s="155" t="s">
        <v>10</v>
      </c>
      <c r="AD1" s="155" t="s">
        <v>9</v>
      </c>
      <c r="AE1" s="155" t="s">
        <v>11</v>
      </c>
      <c r="AF1" s="153"/>
      <c r="AG1" s="153"/>
      <c r="AH1" s="153"/>
      <c r="AI1" s="153"/>
      <c r="AJ1" s="160"/>
      <c r="AK1" s="160"/>
      <c r="AL1" s="160"/>
      <c r="AM1" s="160"/>
      <c r="AN1" s="160"/>
      <c r="AO1" s="153"/>
      <c r="AP1" s="153"/>
    </row>
    <row r="2" spans="1:42" s="74" customFormat="1" ht="30" customHeight="1" thickBot="1" x14ac:dyDescent="0.25">
      <c r="A2" s="75"/>
      <c r="U2" s="178" t="str">
        <f>HLOOKUP(W2,Daten!$AC$1:$AE$24,Daten!AB24,0)</f>
        <v>Sprache</v>
      </c>
      <c r="V2" s="179"/>
      <c r="W2" s="14" t="s">
        <v>9</v>
      </c>
      <c r="Z2" s="153"/>
      <c r="AA2" s="153" t="s">
        <v>9</v>
      </c>
      <c r="AB2" s="156">
        <f>HLOOKUP(Daten!$W$2,AC1:AE2,2,0)</f>
        <v>2</v>
      </c>
      <c r="AC2" s="155">
        <v>1</v>
      </c>
      <c r="AD2" s="155">
        <v>2</v>
      </c>
      <c r="AE2" s="155">
        <v>3</v>
      </c>
      <c r="AF2" s="153"/>
      <c r="AG2" s="153"/>
      <c r="AH2" s="153"/>
      <c r="AI2" s="153"/>
      <c r="AJ2" s="160"/>
      <c r="AK2" s="160"/>
      <c r="AL2" s="160"/>
      <c r="AM2" s="160"/>
      <c r="AN2" s="160"/>
      <c r="AO2" s="153"/>
      <c r="AP2" s="153"/>
    </row>
    <row r="3" spans="1:42" s="74" customFormat="1" ht="30" customHeight="1" x14ac:dyDescent="0.2">
      <c r="A3" s="75"/>
      <c r="U3" s="72"/>
      <c r="V3" s="72"/>
      <c r="W3" s="76"/>
      <c r="Z3" s="153"/>
      <c r="AA3" s="153" t="s">
        <v>10</v>
      </c>
      <c r="AB3" s="154">
        <v>3</v>
      </c>
      <c r="AC3" s="157" t="s">
        <v>2</v>
      </c>
      <c r="AD3" s="157" t="s">
        <v>29</v>
      </c>
      <c r="AE3" s="157" t="s">
        <v>30</v>
      </c>
      <c r="AF3" s="153"/>
      <c r="AG3" s="153"/>
      <c r="AH3" s="153"/>
      <c r="AI3" s="153"/>
      <c r="AJ3" s="160"/>
      <c r="AK3" s="160"/>
      <c r="AL3" s="160"/>
      <c r="AM3" s="160"/>
      <c r="AN3" s="160"/>
      <c r="AO3" s="153"/>
      <c r="AP3" s="153"/>
    </row>
    <row r="4" spans="1:42" s="74" customFormat="1" ht="30" customHeight="1" x14ac:dyDescent="0.2">
      <c r="A4" s="75"/>
      <c r="W4" s="77"/>
      <c r="Z4" s="153"/>
      <c r="AA4" s="153" t="s">
        <v>11</v>
      </c>
      <c r="AB4" s="154">
        <f t="shared" ref="AB4:AB8" si="0">AB3+1</f>
        <v>4</v>
      </c>
      <c r="AC4" s="157" t="s">
        <v>42</v>
      </c>
      <c r="AD4" s="157" t="s">
        <v>44</v>
      </c>
      <c r="AE4" s="157" t="s">
        <v>54</v>
      </c>
      <c r="AF4" s="153"/>
      <c r="AG4" s="153"/>
      <c r="AH4" s="153"/>
      <c r="AI4" s="153"/>
      <c r="AJ4" s="160"/>
      <c r="AK4" s="160"/>
      <c r="AL4" s="160"/>
      <c r="AM4" s="160"/>
      <c r="AN4" s="160"/>
      <c r="AO4" s="153"/>
      <c r="AP4" s="153"/>
    </row>
    <row r="5" spans="1:42" s="74" customFormat="1" ht="30" customHeight="1" x14ac:dyDescent="0.2">
      <c r="A5" s="75"/>
      <c r="W5" s="77"/>
      <c r="Z5" s="153"/>
      <c r="AA5" s="153"/>
      <c r="AB5" s="154">
        <f t="shared" si="0"/>
        <v>5</v>
      </c>
      <c r="AC5" s="157" t="s">
        <v>41</v>
      </c>
      <c r="AD5" s="157" t="s">
        <v>15</v>
      </c>
      <c r="AE5" s="157" t="s">
        <v>21</v>
      </c>
      <c r="AF5" s="153"/>
      <c r="AG5" s="153"/>
      <c r="AH5" s="153"/>
      <c r="AI5" s="153"/>
      <c r="AJ5" s="160"/>
      <c r="AK5" s="160"/>
      <c r="AL5" s="160"/>
      <c r="AM5" s="160"/>
      <c r="AN5" s="160"/>
      <c r="AO5" s="153"/>
      <c r="AP5" s="153"/>
    </row>
    <row r="6" spans="1:42" s="74" customFormat="1" ht="30" customHeight="1" x14ac:dyDescent="0.2">
      <c r="A6" s="75"/>
      <c r="W6" s="77"/>
      <c r="Z6" s="153"/>
      <c r="AA6" s="153"/>
      <c r="AB6" s="154">
        <f t="shared" si="0"/>
        <v>6</v>
      </c>
      <c r="AC6" s="157" t="s">
        <v>43</v>
      </c>
      <c r="AD6" s="157" t="s">
        <v>45</v>
      </c>
      <c r="AE6" s="157" t="s">
        <v>55</v>
      </c>
      <c r="AF6" s="153"/>
      <c r="AG6" s="153"/>
      <c r="AH6" s="153"/>
      <c r="AI6" s="153"/>
      <c r="AJ6" s="160"/>
      <c r="AK6" s="160"/>
      <c r="AL6" s="160"/>
      <c r="AM6" s="160"/>
      <c r="AN6" s="160"/>
      <c r="AO6" s="153"/>
      <c r="AP6" s="153"/>
    </row>
    <row r="7" spans="1:42" s="74" customFormat="1" ht="30" customHeight="1" x14ac:dyDescent="0.2">
      <c r="A7" s="75"/>
      <c r="W7" s="77"/>
      <c r="Z7" s="153"/>
      <c r="AA7" s="153"/>
      <c r="AB7" s="154">
        <f t="shared" si="0"/>
        <v>7</v>
      </c>
      <c r="AC7" s="157" t="s">
        <v>118</v>
      </c>
      <c r="AD7" s="157" t="s">
        <v>73</v>
      </c>
      <c r="AE7" s="157" t="s">
        <v>74</v>
      </c>
      <c r="AF7" s="153"/>
      <c r="AG7" s="153"/>
      <c r="AH7" s="153"/>
      <c r="AI7" s="153"/>
      <c r="AJ7" s="160"/>
      <c r="AK7" s="160"/>
      <c r="AL7" s="160"/>
      <c r="AM7" s="160"/>
      <c r="AN7" s="160"/>
      <c r="AO7" s="153"/>
      <c r="AP7" s="153"/>
    </row>
    <row r="8" spans="1:42" s="74" customFormat="1" ht="30" customHeight="1" x14ac:dyDescent="0.2">
      <c r="A8" s="75"/>
      <c r="W8" s="77"/>
      <c r="Z8" s="153"/>
      <c r="AA8" s="153"/>
      <c r="AB8" s="154">
        <f t="shared" si="0"/>
        <v>8</v>
      </c>
      <c r="AC8" s="157" t="s">
        <v>80</v>
      </c>
      <c r="AD8" s="157" t="s">
        <v>78</v>
      </c>
      <c r="AE8" s="157" t="s">
        <v>79</v>
      </c>
      <c r="AF8" s="153"/>
      <c r="AG8" s="153"/>
      <c r="AH8" s="153"/>
      <c r="AI8" s="153"/>
      <c r="AJ8" s="160"/>
      <c r="AK8" s="160"/>
      <c r="AL8" s="160"/>
      <c r="AM8" s="160"/>
      <c r="AN8" s="160"/>
      <c r="AO8" s="153"/>
      <c r="AP8" s="153"/>
    </row>
    <row r="9" spans="1:42" s="74" customFormat="1" ht="30" customHeight="1" x14ac:dyDescent="0.2">
      <c r="A9" s="78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W9" s="80"/>
      <c r="Z9" s="153"/>
      <c r="AA9" s="153"/>
      <c r="AB9" s="154">
        <f t="shared" ref="AB9:AB24" si="1">AB8+1</f>
        <v>9</v>
      </c>
      <c r="AC9" s="157" t="s">
        <v>46</v>
      </c>
      <c r="AD9" s="157" t="s">
        <v>64</v>
      </c>
      <c r="AE9" s="157" t="s">
        <v>66</v>
      </c>
      <c r="AF9" s="153"/>
      <c r="AG9" s="153"/>
      <c r="AH9" s="153"/>
      <c r="AI9" s="153"/>
      <c r="AJ9" s="160"/>
      <c r="AK9" s="160"/>
      <c r="AL9" s="160"/>
      <c r="AM9" s="160"/>
      <c r="AN9" s="160"/>
      <c r="AO9" s="153"/>
      <c r="AP9" s="153"/>
    </row>
    <row r="10" spans="1:42" s="74" customFormat="1" ht="30" customHeight="1" thickBot="1" x14ac:dyDescent="0.25">
      <c r="A10" s="98"/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100"/>
      <c r="Z10" s="153"/>
      <c r="AA10" s="153"/>
      <c r="AB10" s="154">
        <f t="shared" si="1"/>
        <v>10</v>
      </c>
      <c r="AC10" s="157" t="s">
        <v>47</v>
      </c>
      <c r="AD10" s="157" t="s">
        <v>65</v>
      </c>
      <c r="AE10" s="157" t="s">
        <v>67</v>
      </c>
      <c r="AF10" s="153"/>
      <c r="AG10" s="153"/>
      <c r="AH10" s="153"/>
      <c r="AI10" s="153"/>
      <c r="AJ10" s="160"/>
      <c r="AK10" s="160"/>
      <c r="AL10" s="160"/>
      <c r="AM10" s="160"/>
      <c r="AN10" s="160"/>
      <c r="AO10" s="153"/>
      <c r="AP10" s="153"/>
    </row>
    <row r="11" spans="1:42" s="74" customFormat="1" ht="30" customHeight="1" thickBot="1" x14ac:dyDescent="0.25">
      <c r="A11" s="180" t="str">
        <f>HLOOKUP(W2,Daten!$AC$1:$AE$22,Daten!AB3,0)</f>
        <v>Berechnung der Höhe und Tiefe einer Veranda</v>
      </c>
      <c r="B11" s="181"/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2"/>
      <c r="S11" s="180" t="str">
        <f>HLOOKUP(W2,Daten!$AC$1:$AE$23,Daten!AB23,0)</f>
        <v>Berechnung der Fensterelemente</v>
      </c>
      <c r="T11" s="181"/>
      <c r="U11" s="181"/>
      <c r="V11" s="181"/>
      <c r="W11" s="182"/>
      <c r="Z11" s="153"/>
      <c r="AA11" s="153"/>
      <c r="AB11" s="154">
        <f t="shared" si="1"/>
        <v>11</v>
      </c>
      <c r="AC11" s="157" t="s">
        <v>48</v>
      </c>
      <c r="AD11" s="157" t="s">
        <v>81</v>
      </c>
      <c r="AE11" s="157" t="s">
        <v>56</v>
      </c>
      <c r="AF11" s="153"/>
      <c r="AG11" s="153"/>
      <c r="AH11" s="153"/>
      <c r="AI11" s="153"/>
      <c r="AJ11" s="160"/>
      <c r="AK11" s="160"/>
      <c r="AL11" s="160"/>
      <c r="AM11" s="160"/>
      <c r="AN11" s="160"/>
      <c r="AO11" s="153"/>
      <c r="AP11" s="153"/>
    </row>
    <row r="12" spans="1:42" s="74" customFormat="1" ht="35" customHeight="1" thickBot="1" x14ac:dyDescent="0.25">
      <c r="A12" s="86"/>
      <c r="B12" s="183" t="str">
        <f>HLOOKUP(W2,Daten!$AC$1:$AE$26,Daten!AB4,0)</f>
        <v>Höhe -  Unterkante Rinne [mm] (H3)</v>
      </c>
      <c r="C12" s="186" t="str">
        <f>HLOOKUP(W2,Daten!$AC$1:$AE$22,Daten!AB5,0)</f>
        <v>Bestelltiefe [mm]</v>
      </c>
      <c r="D12" s="183" t="str">
        <f>HLOOKUP(W2,Daten!$AC$1:$AE$26,Daten!AB6,0)</f>
        <v>Höhe -  Unterkante Wandprofil [mm] (H1)</v>
      </c>
      <c r="E12" s="189" t="str">
        <f>HLOOKUP(W2,Daten!$AC$1:$AE$26,Daten!AB25,0)</f>
        <v>Dachüberstand [mm] (U1)</v>
      </c>
      <c r="F12" s="192" t="str">
        <f>HLOOKUP(W2,Daten!$AC$1:$AE$26,Daten!AB7,0)</f>
        <v>Neigung [°] (α)</v>
      </c>
      <c r="G12" s="192" t="str">
        <f>HLOOKUP(W2,Daten!$AC$1:$AE$27,Daten!AB27,0)</f>
        <v>Neigung [mm/m]</v>
      </c>
      <c r="H12" s="192" t="str">
        <f>HLOOKUP(W2,Daten!$AC$1:$AE$26,Daten!AB26,0)</f>
        <v>Neigung Glas Ultraline [°] (β)</v>
      </c>
      <c r="I12" s="173" t="str">
        <f>HLOOKUP(W2,Daten!$AC$1:$AE$22,Daten!AB8,0)</f>
        <v>Tiefe - Hinterkante Wandanschluss bis Mitte Pfosten [mm] (D1)</v>
      </c>
      <c r="J12" s="195" t="str">
        <f>HLOOKUP(W2,Daten!$AC$1:$AE$22,Daten!AB9,0)</f>
        <v>Länge - Sparren Mitte [mm] (S1)</v>
      </c>
      <c r="K12" s="195" t="str">
        <f>HLOOKUP(W2,Daten!$AC$1:$AE$22,Daten!AB10,0)</f>
        <v>Länge - Sparren Außen [mm] (S1)</v>
      </c>
      <c r="L12" s="173" t="str">
        <f>HLOOKUP(W2,Daten!$AC$1:$AE$22,Daten!AB11,0)</f>
        <v>Tiefe - Hinterkante Wandanschluss bis Rinne Standard [mm] (D3)</v>
      </c>
      <c r="M12" s="173" t="str">
        <f>HLOOKUP(W2,Daten!$AC$1:$AE$22,Daten!AB12,0)</f>
        <v>Tiefe - Hinterkante Wandanschluss bis Zierleiste rund [mm] (D3)</v>
      </c>
      <c r="N12" s="173" t="str">
        <f>HLOOKUP(W2,Daten!$AC$1:$AE$22,Daten!AB13,0)</f>
        <v>Tiefe - Hinterkante Wandanschluss bis Zierleiste klassik [mm] (D3)</v>
      </c>
      <c r="O12" s="173" t="str">
        <f>HLOOKUP(W2,Daten!$AC$1:$AE$22,Daten!AB14,0)</f>
        <v>Tiefe - Hinterkante Wandanschluss bis Innenkante Pfosten [mm] (D2)</v>
      </c>
      <c r="P12" s="183" t="str">
        <f>HLOOKUP(W2,Daten!$AC$1:$AE$22,Daten!AB15,0)</f>
        <v>Höhe - Oberkante Wandprofil [mm] (H2)</v>
      </c>
      <c r="Q12" s="204" t="str">
        <f>HLOOKUP(W2,Daten!$AC$1:$AE$22,Daten!AB21,0)</f>
        <v>Hinterkante Wandanschluss bis Außenkante Pfosten [mm] (D4)</v>
      </c>
      <c r="R12" s="207" t="str">
        <f>HLOOKUP(W2,Daten!$AC$1:$AE$22,Daten!AB22,0)</f>
        <v>Hinterkante Wandanschluss bis Außenkante Pfosten [mm] (D5)</v>
      </c>
      <c r="S12" s="210" t="str">
        <f>HLOOKUP(W2,Daten!$AC$1:$AE$22,Daten!AB16,0)</f>
        <v>Fensterhöhe Rinnenseite [mm]</v>
      </c>
      <c r="T12" s="198" t="str">
        <f>HLOOKUP(W2,Daten!$AC$1:$AE$22,Daten!AB17,0)</f>
        <v>Fensterbreite [mm]</v>
      </c>
      <c r="U12" s="198" t="str">
        <f>HLOOKUP(W2,Daten!$AC$1:$AE$22,Daten!AB18,0)</f>
        <v>Keilhöhe Rinnenseite [mm]</v>
      </c>
      <c r="V12" s="198" t="str">
        <f>HLOOKUP(W2,Daten!$AC$1:$AE$22,Daten!AB19,0)</f>
        <v>Keilhöhe Hausseite [mm]</v>
      </c>
      <c r="W12" s="201" t="str">
        <f>HLOOKUP(W2,Daten!$AC$1:$AE$22,Daten!AB20,0)</f>
        <v>Fensterhöhe Hausseite [mm]</v>
      </c>
      <c r="X12" s="215" t="str">
        <f>HLOOKUP(W2,Daten!$AC$1:$AE$28,Daten!AB28,0)</f>
        <v>Höhe - Oberkante XL-Wandprofil [mm] (H2)</v>
      </c>
      <c r="Y12" s="87"/>
      <c r="Z12" s="153"/>
      <c r="AA12" s="153"/>
      <c r="AB12" s="154">
        <f t="shared" si="1"/>
        <v>12</v>
      </c>
      <c r="AC12" s="157" t="s">
        <v>52</v>
      </c>
      <c r="AD12" s="157" t="s">
        <v>82</v>
      </c>
      <c r="AE12" s="157" t="s">
        <v>57</v>
      </c>
      <c r="AF12" s="153"/>
      <c r="AG12" s="153"/>
      <c r="AH12" s="153"/>
      <c r="AI12" s="153"/>
      <c r="AJ12" s="160"/>
      <c r="AK12" s="160"/>
      <c r="AL12" s="160"/>
      <c r="AM12" s="160"/>
      <c r="AN12" s="160"/>
      <c r="AO12" s="153"/>
      <c r="AP12" s="153"/>
    </row>
    <row r="13" spans="1:42" s="74" customFormat="1" ht="35" customHeight="1" x14ac:dyDescent="0.2">
      <c r="A13" s="88"/>
      <c r="B13" s="184"/>
      <c r="C13" s="187"/>
      <c r="D13" s="184"/>
      <c r="E13" s="190"/>
      <c r="F13" s="193"/>
      <c r="G13" s="193"/>
      <c r="H13" s="193"/>
      <c r="I13" s="174"/>
      <c r="J13" s="196"/>
      <c r="K13" s="196"/>
      <c r="L13" s="174"/>
      <c r="M13" s="174"/>
      <c r="N13" s="174"/>
      <c r="O13" s="174"/>
      <c r="P13" s="184"/>
      <c r="Q13" s="205"/>
      <c r="R13" s="208"/>
      <c r="S13" s="210"/>
      <c r="T13" s="198"/>
      <c r="U13" s="198"/>
      <c r="V13" s="198"/>
      <c r="W13" s="201"/>
      <c r="X13" s="216"/>
      <c r="Y13" s="87"/>
      <c r="Z13" s="153"/>
      <c r="AA13" s="153"/>
      <c r="AB13" s="154">
        <f t="shared" si="1"/>
        <v>13</v>
      </c>
      <c r="AC13" s="157" t="s">
        <v>53</v>
      </c>
      <c r="AD13" s="157" t="s">
        <v>83</v>
      </c>
      <c r="AE13" s="157" t="s">
        <v>58</v>
      </c>
      <c r="AF13" s="153"/>
      <c r="AG13" s="153"/>
      <c r="AH13" s="153"/>
      <c r="AI13" s="153"/>
      <c r="AJ13" s="160"/>
      <c r="AK13" s="160"/>
      <c r="AL13" s="160"/>
      <c r="AM13" s="160"/>
      <c r="AN13" s="160"/>
      <c r="AO13" s="153"/>
      <c r="AP13" s="153"/>
    </row>
    <row r="14" spans="1:42" s="74" customFormat="1" ht="35" customHeight="1" x14ac:dyDescent="0.2">
      <c r="A14" s="88"/>
      <c r="B14" s="185"/>
      <c r="C14" s="188"/>
      <c r="D14" s="185"/>
      <c r="E14" s="191"/>
      <c r="F14" s="194"/>
      <c r="G14" s="194"/>
      <c r="H14" s="194"/>
      <c r="I14" s="175"/>
      <c r="J14" s="197"/>
      <c r="K14" s="197"/>
      <c r="L14" s="175"/>
      <c r="M14" s="175"/>
      <c r="N14" s="175"/>
      <c r="O14" s="175"/>
      <c r="P14" s="185"/>
      <c r="Q14" s="206"/>
      <c r="R14" s="209"/>
      <c r="S14" s="211"/>
      <c r="T14" s="199"/>
      <c r="U14" s="199"/>
      <c r="V14" s="199"/>
      <c r="W14" s="202"/>
      <c r="X14" s="217"/>
      <c r="Y14" s="87"/>
      <c r="Z14" s="153"/>
      <c r="AA14" s="153"/>
      <c r="AB14" s="154">
        <f t="shared" si="1"/>
        <v>14</v>
      </c>
      <c r="AC14" s="157" t="s">
        <v>49</v>
      </c>
      <c r="AD14" s="157" t="s">
        <v>84</v>
      </c>
      <c r="AE14" s="157" t="s">
        <v>59</v>
      </c>
      <c r="AF14" s="153"/>
      <c r="AG14" s="153"/>
      <c r="AH14" s="153"/>
      <c r="AI14" s="153"/>
      <c r="AJ14" s="160"/>
      <c r="AK14" s="160"/>
      <c r="AL14" s="160"/>
      <c r="AM14" s="160"/>
      <c r="AN14" s="160"/>
      <c r="AO14" s="153"/>
      <c r="AP14" s="153"/>
    </row>
    <row r="15" spans="1:42" s="74" customFormat="1" ht="35" customHeight="1" x14ac:dyDescent="0.2">
      <c r="A15" s="88"/>
      <c r="B15" s="185"/>
      <c r="C15" s="188"/>
      <c r="D15" s="185"/>
      <c r="E15" s="191"/>
      <c r="F15" s="194"/>
      <c r="G15" s="194"/>
      <c r="H15" s="194"/>
      <c r="I15" s="175"/>
      <c r="J15" s="197"/>
      <c r="K15" s="197"/>
      <c r="L15" s="175"/>
      <c r="M15" s="175"/>
      <c r="N15" s="175"/>
      <c r="O15" s="175"/>
      <c r="P15" s="185"/>
      <c r="Q15" s="206"/>
      <c r="R15" s="209"/>
      <c r="S15" s="211"/>
      <c r="T15" s="199"/>
      <c r="U15" s="199"/>
      <c r="V15" s="199"/>
      <c r="W15" s="202"/>
      <c r="X15" s="217"/>
      <c r="Y15" s="87"/>
      <c r="Z15" s="153"/>
      <c r="AA15" s="153"/>
      <c r="AB15" s="154">
        <f t="shared" si="1"/>
        <v>15</v>
      </c>
      <c r="AC15" s="157" t="s">
        <v>50</v>
      </c>
      <c r="AD15" s="157" t="s">
        <v>51</v>
      </c>
      <c r="AE15" s="157" t="s">
        <v>60</v>
      </c>
      <c r="AF15" s="153"/>
      <c r="AG15" s="153"/>
      <c r="AH15" s="153"/>
      <c r="AI15" s="153"/>
      <c r="AJ15" s="160"/>
      <c r="AK15" s="160"/>
      <c r="AL15" s="160"/>
      <c r="AM15" s="160"/>
      <c r="AN15" s="160"/>
      <c r="AO15" s="153"/>
      <c r="AP15" s="153"/>
    </row>
    <row r="16" spans="1:42" s="74" customFormat="1" ht="35" customHeight="1" x14ac:dyDescent="0.2">
      <c r="A16" s="88"/>
      <c r="B16" s="185"/>
      <c r="C16" s="188"/>
      <c r="D16" s="185"/>
      <c r="E16" s="191"/>
      <c r="F16" s="194"/>
      <c r="G16" s="194"/>
      <c r="H16" s="194"/>
      <c r="I16" s="175"/>
      <c r="J16" s="197"/>
      <c r="K16" s="197"/>
      <c r="L16" s="175"/>
      <c r="M16" s="175"/>
      <c r="N16" s="175"/>
      <c r="O16" s="175"/>
      <c r="P16" s="185"/>
      <c r="Q16" s="206"/>
      <c r="R16" s="209"/>
      <c r="S16" s="211"/>
      <c r="T16" s="199"/>
      <c r="U16" s="199"/>
      <c r="V16" s="199"/>
      <c r="W16" s="202"/>
      <c r="X16" s="217"/>
      <c r="Y16" s="87"/>
      <c r="Z16" s="153"/>
      <c r="AA16" s="153"/>
      <c r="AB16" s="154">
        <f t="shared" si="1"/>
        <v>16</v>
      </c>
      <c r="AC16" s="157" t="s">
        <v>12</v>
      </c>
      <c r="AD16" s="157" t="s">
        <v>16</v>
      </c>
      <c r="AE16" s="157" t="s">
        <v>22</v>
      </c>
      <c r="AF16" s="153"/>
      <c r="AG16" s="153"/>
      <c r="AH16" s="153"/>
      <c r="AI16" s="153"/>
      <c r="AJ16" s="160"/>
      <c r="AK16" s="160"/>
      <c r="AL16" s="160"/>
      <c r="AM16" s="160"/>
      <c r="AN16" s="160"/>
      <c r="AO16" s="153"/>
      <c r="AP16" s="153"/>
    </row>
    <row r="17" spans="1:42" s="74" customFormat="1" ht="35" customHeight="1" x14ac:dyDescent="0.25">
      <c r="A17" s="101" t="s">
        <v>0</v>
      </c>
      <c r="B17" s="185"/>
      <c r="C17" s="188"/>
      <c r="D17" s="185"/>
      <c r="E17" s="191"/>
      <c r="F17" s="194"/>
      <c r="G17" s="194"/>
      <c r="H17" s="194"/>
      <c r="I17" s="175"/>
      <c r="J17" s="197"/>
      <c r="K17" s="197"/>
      <c r="L17" s="175"/>
      <c r="M17" s="175"/>
      <c r="N17" s="175"/>
      <c r="O17" s="175"/>
      <c r="P17" s="185"/>
      <c r="Q17" s="206"/>
      <c r="R17" s="209"/>
      <c r="S17" s="211"/>
      <c r="T17" s="199"/>
      <c r="U17" s="199"/>
      <c r="V17" s="199"/>
      <c r="W17" s="202"/>
      <c r="X17" s="217"/>
      <c r="Y17" s="8"/>
      <c r="Z17" s="158"/>
      <c r="AA17" s="153"/>
      <c r="AB17" s="154">
        <f t="shared" si="1"/>
        <v>17</v>
      </c>
      <c r="AC17" s="157" t="s">
        <v>13</v>
      </c>
      <c r="AD17" s="157" t="s">
        <v>17</v>
      </c>
      <c r="AE17" s="157" t="s">
        <v>23</v>
      </c>
      <c r="AF17" s="153"/>
      <c r="AG17" s="153"/>
      <c r="AH17" s="153"/>
      <c r="AI17" s="153"/>
      <c r="AJ17" s="160"/>
      <c r="AK17" s="160"/>
      <c r="AL17" s="160"/>
      <c r="AM17" s="160"/>
      <c r="AN17" s="160"/>
      <c r="AO17" s="153"/>
      <c r="AP17" s="153"/>
    </row>
    <row r="18" spans="1:42" s="74" customFormat="1" ht="30" customHeight="1" x14ac:dyDescent="0.25">
      <c r="A18" s="102" t="s">
        <v>89</v>
      </c>
      <c r="B18" s="103">
        <f>Orangeline!B18</f>
        <v>2400</v>
      </c>
      <c r="C18" s="104">
        <f>Orangeline!C18</f>
        <v>5000</v>
      </c>
      <c r="D18" s="32">
        <f>B18+J18*SIN(RADIANS(F18))+18+2</f>
        <v>3101.9481947043205</v>
      </c>
      <c r="E18" s="9" t="s">
        <v>38</v>
      </c>
      <c r="F18" s="51">
        <v>8</v>
      </c>
      <c r="G18" s="51">
        <f>TAN(RADIANS(F18))*1000</f>
        <v>140.54083470239146</v>
      </c>
      <c r="H18" s="55" t="s">
        <v>38</v>
      </c>
      <c r="I18" s="5">
        <f>J18*COS(RADIANS(F18))+57+34</f>
        <v>4943.3135368336943</v>
      </c>
      <c r="J18" s="9">
        <f>C18-100</f>
        <v>4900</v>
      </c>
      <c r="K18" s="9" t="s">
        <v>38</v>
      </c>
      <c r="L18" s="9">
        <f>I18+70</f>
        <v>5013.3135368336943</v>
      </c>
      <c r="M18" s="10" t="s">
        <v>38</v>
      </c>
      <c r="N18" s="10" t="s">
        <v>38</v>
      </c>
      <c r="O18" s="9">
        <f>I18-55</f>
        <v>4888.3135368336943</v>
      </c>
      <c r="P18" s="9">
        <f>$D$18+157</f>
        <v>3258.9481947043205</v>
      </c>
      <c r="Q18" s="16">
        <f>I18+55</f>
        <v>4998.3135368336943</v>
      </c>
      <c r="R18" s="4">
        <f>Q18+117</f>
        <v>5115.3135368336943</v>
      </c>
      <c r="S18" s="18">
        <f>B18+15.7</f>
        <v>2415.6999999999998</v>
      </c>
      <c r="T18" s="9">
        <f>O18</f>
        <v>4888.3135368336943</v>
      </c>
      <c r="U18" s="9">
        <v>39</v>
      </c>
      <c r="V18" s="9">
        <f>D18-B18+23.8</f>
        <v>725.74819470432044</v>
      </c>
      <c r="W18" s="19">
        <f>D18</f>
        <v>3101.9481947043205</v>
      </c>
      <c r="X18" s="140">
        <f>$D$18+166</f>
        <v>3267.9481947043205</v>
      </c>
      <c r="Y18" s="8"/>
      <c r="Z18" s="159"/>
      <c r="AA18" s="153"/>
      <c r="AB18" s="154">
        <f t="shared" si="1"/>
        <v>18</v>
      </c>
      <c r="AC18" s="157" t="s">
        <v>4</v>
      </c>
      <c r="AD18" s="157" t="s">
        <v>18</v>
      </c>
      <c r="AE18" s="157" t="s">
        <v>24</v>
      </c>
      <c r="AF18" s="153"/>
      <c r="AG18" s="153"/>
      <c r="AH18" s="153"/>
      <c r="AI18" s="153"/>
      <c r="AJ18" s="160"/>
      <c r="AK18" s="160"/>
      <c r="AL18" s="160"/>
      <c r="AM18" s="160"/>
      <c r="AN18" s="160"/>
      <c r="AO18" s="153"/>
      <c r="AP18" s="153"/>
    </row>
    <row r="19" spans="1:42" s="74" customFormat="1" ht="30" customHeight="1" x14ac:dyDescent="0.25">
      <c r="A19" s="102" t="s">
        <v>90</v>
      </c>
      <c r="B19" s="105">
        <f>'Orangeline+'!B18</f>
        <v>2250</v>
      </c>
      <c r="C19" s="106">
        <f>'Orangeline+'!C18</f>
        <v>5000</v>
      </c>
      <c r="D19" s="23">
        <f>C19*SIN(RADIANS(F19))-TAN(RADIANS(F19))*56.8+B19+34</f>
        <v>2971.8827853892317</v>
      </c>
      <c r="E19" s="107" t="s">
        <v>38</v>
      </c>
      <c r="F19" s="52">
        <v>8</v>
      </c>
      <c r="G19" s="52">
        <f t="shared" ref="G19:G24" si="2">TAN(RADIANS(F19))*1000</f>
        <v>140.54083470239146</v>
      </c>
      <c r="H19" s="56" t="s">
        <v>38</v>
      </c>
      <c r="I19" s="5">
        <f>COS(RADIANS(F19))*(C19+2.5+2.5)</f>
        <v>4956.29168405156</v>
      </c>
      <c r="J19" s="10">
        <f>C19-100</f>
        <v>4900</v>
      </c>
      <c r="K19" s="10" t="s">
        <v>38</v>
      </c>
      <c r="L19" s="10">
        <f>I19+89.6</f>
        <v>5045.8916840515603</v>
      </c>
      <c r="M19" s="10" t="s">
        <v>38</v>
      </c>
      <c r="N19" s="10" t="s">
        <v>38</v>
      </c>
      <c r="O19" s="10">
        <f>I19-55</f>
        <v>4901.29168405156</v>
      </c>
      <c r="P19" s="10">
        <f>$D$19+157.18</f>
        <v>3129.0627853892315</v>
      </c>
      <c r="Q19" s="11">
        <f>O19+110</f>
        <v>5011.29168405156</v>
      </c>
      <c r="R19" s="12">
        <f>Q19+117</f>
        <v>5128.29168405156</v>
      </c>
      <c r="S19" s="34">
        <f t="shared" ref="S19:S24" si="3">B19+U19</f>
        <v>2284</v>
      </c>
      <c r="T19" s="33">
        <f>O19</f>
        <v>4901.29168405156</v>
      </c>
      <c r="U19" s="33">
        <v>34</v>
      </c>
      <c r="V19" s="33">
        <f t="shared" ref="V19:V24" si="4">D19-B19</f>
        <v>721.88278538923169</v>
      </c>
      <c r="W19" s="35">
        <f>D19</f>
        <v>2971.8827853892317</v>
      </c>
      <c r="X19" s="141">
        <f>$D$19+166</f>
        <v>3137.8827853892317</v>
      </c>
      <c r="Y19" s="26"/>
      <c r="Z19" s="156"/>
      <c r="AA19" s="153"/>
      <c r="AB19" s="154">
        <f t="shared" si="1"/>
        <v>19</v>
      </c>
      <c r="AC19" s="157" t="s">
        <v>5</v>
      </c>
      <c r="AD19" s="157" t="s">
        <v>19</v>
      </c>
      <c r="AE19" s="157" t="s">
        <v>25</v>
      </c>
      <c r="AF19" s="153"/>
      <c r="AG19" s="153"/>
      <c r="AH19" s="153"/>
      <c r="AI19" s="153"/>
      <c r="AJ19" s="160"/>
      <c r="AK19" s="160"/>
      <c r="AL19" s="160"/>
      <c r="AM19" s="160"/>
      <c r="AN19" s="160"/>
      <c r="AO19" s="153"/>
      <c r="AP19" s="153"/>
    </row>
    <row r="20" spans="1:42" s="74" customFormat="1" ht="30" customHeight="1" x14ac:dyDescent="0.25">
      <c r="A20" s="102" t="s">
        <v>31</v>
      </c>
      <c r="B20" s="108">
        <f>Trendline!B18</f>
        <v>2250</v>
      </c>
      <c r="C20" s="109">
        <f>Trendline!C18</f>
        <v>4050</v>
      </c>
      <c r="D20" s="109">
        <f>Trendline!D18</f>
        <v>2700</v>
      </c>
      <c r="E20" s="110" t="s">
        <v>38</v>
      </c>
      <c r="F20" s="52">
        <f>DEGREES(ASIN(((D20+1.6)-(B20+47.5))/(J20+20.4)))</f>
        <v>5.8415739565829989</v>
      </c>
      <c r="G20" s="52">
        <f t="shared" si="2"/>
        <v>102.309438987017</v>
      </c>
      <c r="H20" s="57" t="s">
        <v>38</v>
      </c>
      <c r="I20" s="5">
        <f>COS(RADIANS(F20))*J20+78.4+20.4+33.1</f>
        <v>4061.3881249444503</v>
      </c>
      <c r="J20" s="10">
        <f>C20-100</f>
        <v>3950</v>
      </c>
      <c r="K20" s="10" t="s">
        <v>38</v>
      </c>
      <c r="L20" s="10">
        <f>COS(RADIANS(F20))*J20+78.4+20.4+33.1+112</f>
        <v>4173.3881249444503</v>
      </c>
      <c r="M20" s="10">
        <f>COS(RADIANS(F20))*J20+78.4+20.4+33.1+115.3</f>
        <v>4176.6881249444505</v>
      </c>
      <c r="N20" s="10">
        <f>COS(RADIANS(F20))*J20+78.4+20.4+33.1+157.6</f>
        <v>4218.9881249444506</v>
      </c>
      <c r="O20" s="10">
        <f>COS(RADIANS(F20))*J20+23.4+20.4+33.1</f>
        <v>4006.3881249444503</v>
      </c>
      <c r="P20" s="10">
        <f>$D$20+162.2</f>
        <v>2862.2</v>
      </c>
      <c r="Q20" s="11">
        <f>COS(RADIANS(F20))*J20+133.4+20.4+33.1</f>
        <v>4116.3881249444503</v>
      </c>
      <c r="R20" s="12">
        <f>COS(RADIANS(F20))*J20+133.4+20.4+33.1+117</f>
        <v>4233.3881249444503</v>
      </c>
      <c r="S20" s="27">
        <f t="shared" si="3"/>
        <v>2289</v>
      </c>
      <c r="T20" s="10">
        <f t="shared" ref="T20:T26" si="5">O20</f>
        <v>4006.3881249444503</v>
      </c>
      <c r="U20" s="2">
        <v>39</v>
      </c>
      <c r="V20" s="10">
        <f t="shared" si="4"/>
        <v>450</v>
      </c>
      <c r="W20" s="12">
        <f t="shared" ref="W20:W24" si="6">D20</f>
        <v>2700</v>
      </c>
      <c r="X20" s="141">
        <f>$D$20+190.8</f>
        <v>2890.8</v>
      </c>
      <c r="Y20" s="26"/>
      <c r="Z20" s="156"/>
      <c r="AA20" s="153"/>
      <c r="AB20" s="154">
        <f t="shared" si="1"/>
        <v>20</v>
      </c>
      <c r="AC20" s="157" t="s">
        <v>14</v>
      </c>
      <c r="AD20" s="157" t="s">
        <v>20</v>
      </c>
      <c r="AE20" s="157" t="s">
        <v>26</v>
      </c>
      <c r="AF20" s="153"/>
      <c r="AG20" s="153"/>
      <c r="AH20" s="153"/>
      <c r="AI20" s="153"/>
      <c r="AJ20" s="160"/>
      <c r="AK20" s="160"/>
      <c r="AL20" s="160"/>
      <c r="AM20" s="160"/>
      <c r="AN20" s="160"/>
      <c r="AO20" s="153"/>
      <c r="AP20" s="153"/>
    </row>
    <row r="21" spans="1:42" s="74" customFormat="1" ht="30" customHeight="1" x14ac:dyDescent="0.25">
      <c r="A21" s="102" t="s">
        <v>91</v>
      </c>
      <c r="B21" s="108">
        <f>'Trendline+'!B18</f>
        <v>2250</v>
      </c>
      <c r="C21" s="109">
        <f>'Trendline+'!C18</f>
        <v>4050</v>
      </c>
      <c r="D21" s="109">
        <f>'Trendline+'!D18</f>
        <v>2700</v>
      </c>
      <c r="E21" s="110" t="s">
        <v>38</v>
      </c>
      <c r="F21" s="52">
        <f>DEGREES(ASIN(((D21+1.6)-(B21+57.5))/(J21+20.4)))</f>
        <v>5.6965319787820983</v>
      </c>
      <c r="G21" s="52">
        <f t="shared" si="2"/>
        <v>99.75213842645266</v>
      </c>
      <c r="H21" s="57" t="s">
        <v>38</v>
      </c>
      <c r="I21" s="5">
        <f>COS(RADIANS(F21))*(J21+2*10.2)+78.4+33.1</f>
        <v>4062.2924964492881</v>
      </c>
      <c r="J21" s="10">
        <f>C21-100</f>
        <v>3950</v>
      </c>
      <c r="K21" s="10" t="s">
        <v>38</v>
      </c>
      <c r="L21" s="10">
        <f>I21+112.1</f>
        <v>4174.392496449288</v>
      </c>
      <c r="M21" s="2" t="s">
        <v>38</v>
      </c>
      <c r="N21" s="2" t="s">
        <v>38</v>
      </c>
      <c r="O21" s="10">
        <f>I21-55</f>
        <v>4007.2924964492881</v>
      </c>
      <c r="P21" s="10">
        <f>$D$21+162.2</f>
        <v>2862.2</v>
      </c>
      <c r="Q21" s="11">
        <f>I21+55</f>
        <v>4117.2924964492886</v>
      </c>
      <c r="R21" s="12">
        <f>Q21+117</f>
        <v>4234.2924964492886</v>
      </c>
      <c r="S21" s="15">
        <f t="shared" si="3"/>
        <v>2300.1</v>
      </c>
      <c r="T21" s="10">
        <f t="shared" si="5"/>
        <v>4007.2924964492881</v>
      </c>
      <c r="U21" s="10">
        <v>50.1</v>
      </c>
      <c r="V21" s="10">
        <f t="shared" si="4"/>
        <v>450</v>
      </c>
      <c r="W21" s="12">
        <f t="shared" si="6"/>
        <v>2700</v>
      </c>
      <c r="X21" s="141">
        <f>$D$21+190.8</f>
        <v>2890.8</v>
      </c>
      <c r="Y21" s="8"/>
      <c r="Z21" s="156"/>
      <c r="AA21" s="153"/>
      <c r="AB21" s="154">
        <f t="shared" si="1"/>
        <v>21</v>
      </c>
      <c r="AC21" s="157" t="s">
        <v>62</v>
      </c>
      <c r="AD21" s="157" t="s">
        <v>85</v>
      </c>
      <c r="AE21" s="157" t="s">
        <v>27</v>
      </c>
      <c r="AF21" s="153"/>
      <c r="AG21" s="153"/>
      <c r="AH21" s="153"/>
      <c r="AI21" s="153"/>
      <c r="AJ21" s="160"/>
      <c r="AK21" s="160"/>
      <c r="AL21" s="160"/>
      <c r="AM21" s="160"/>
      <c r="AN21" s="160"/>
      <c r="AO21" s="153"/>
      <c r="AP21" s="153"/>
    </row>
    <row r="22" spans="1:42" s="74" customFormat="1" ht="30" customHeight="1" x14ac:dyDescent="0.25">
      <c r="A22" s="102" t="s">
        <v>1</v>
      </c>
      <c r="B22" s="108">
        <f>Topline!B18</f>
        <v>2200</v>
      </c>
      <c r="C22" s="109">
        <f>Topline!C18</f>
        <v>4500</v>
      </c>
      <c r="D22" s="111">
        <f>Topline!D18</f>
        <v>2700</v>
      </c>
      <c r="E22" s="110" t="s">
        <v>38</v>
      </c>
      <c r="F22" s="52">
        <f>DEGREES(ASIN(((D22+1.6)-(B22+93.2))/(J22+20.4)))</f>
        <v>5.368091118374374</v>
      </c>
      <c r="G22" s="52">
        <f t="shared" si="2"/>
        <v>93.965969334399844</v>
      </c>
      <c r="H22" s="57" t="s">
        <v>38</v>
      </c>
      <c r="I22" s="5">
        <f>COS(RADIANS(F22))*J22+99.1+20.4+33.1</f>
        <v>4478.5437882766091</v>
      </c>
      <c r="J22" s="10">
        <f>C22-155</f>
        <v>4345</v>
      </c>
      <c r="K22" s="10" t="s">
        <v>38</v>
      </c>
      <c r="L22" s="10">
        <f>COS(RADIANS(F22))*J22+222.1+20.4+33.1</f>
        <v>4601.5437882766091</v>
      </c>
      <c r="M22" s="10" t="s">
        <v>38</v>
      </c>
      <c r="N22" s="10" t="s">
        <v>38</v>
      </c>
      <c r="O22" s="10">
        <f>COS(RADIANS(F22))*J22+24.6+20.4+33.1</f>
        <v>4404.0437882766091</v>
      </c>
      <c r="P22" s="10">
        <f>$D$22+162.2</f>
        <v>2862.2</v>
      </c>
      <c r="Q22" s="11">
        <f>I22+74.5</f>
        <v>4553.0437882766091</v>
      </c>
      <c r="R22" s="12">
        <f>Q22+117</f>
        <v>4670.0437882766091</v>
      </c>
      <c r="S22" s="15">
        <f t="shared" si="3"/>
        <v>2284</v>
      </c>
      <c r="T22" s="10">
        <f t="shared" si="5"/>
        <v>4404.0437882766091</v>
      </c>
      <c r="U22" s="2">
        <v>84</v>
      </c>
      <c r="V22" s="10">
        <f t="shared" si="4"/>
        <v>500</v>
      </c>
      <c r="W22" s="12">
        <f t="shared" si="6"/>
        <v>2700</v>
      </c>
      <c r="X22" s="141">
        <f>$D$22+190.8</f>
        <v>2890.8</v>
      </c>
      <c r="Y22" s="8"/>
      <c r="Z22" s="156"/>
      <c r="AA22" s="153"/>
      <c r="AB22" s="154">
        <f t="shared" si="1"/>
        <v>22</v>
      </c>
      <c r="AC22" s="157" t="s">
        <v>63</v>
      </c>
      <c r="AD22" s="157" t="s">
        <v>86</v>
      </c>
      <c r="AE22" s="157" t="s">
        <v>28</v>
      </c>
      <c r="AF22" s="153"/>
      <c r="AG22" s="153"/>
      <c r="AH22" s="153"/>
      <c r="AI22" s="153"/>
      <c r="AJ22" s="160"/>
      <c r="AK22" s="160"/>
      <c r="AL22" s="160"/>
      <c r="AM22" s="160"/>
      <c r="AN22" s="160"/>
      <c r="AO22" s="153"/>
      <c r="AP22" s="153"/>
    </row>
    <row r="23" spans="1:42" s="74" customFormat="1" ht="30" customHeight="1" x14ac:dyDescent="0.25">
      <c r="A23" s="112" t="s">
        <v>6</v>
      </c>
      <c r="B23" s="108">
        <f>'Topline XL'!B18</f>
        <v>2200</v>
      </c>
      <c r="C23" s="109">
        <f>'Topline XL'!C18</f>
        <v>4000</v>
      </c>
      <c r="D23" s="111">
        <f>'Topline XL'!D18</f>
        <v>2700</v>
      </c>
      <c r="E23" s="10" t="s">
        <v>38</v>
      </c>
      <c r="F23" s="52">
        <f>DEGREES(ASIN(((D23+1.6)-(B23+117))/(J23+20.4)))</f>
        <v>5.7102702450019072</v>
      </c>
      <c r="G23" s="52">
        <f t="shared" si="2"/>
        <v>99.994308110619997</v>
      </c>
      <c r="H23" s="57" t="s">
        <v>38</v>
      </c>
      <c r="I23" s="5">
        <f>COS(RADIANS(F23))*J23+118.9+20.4+33.1</f>
        <v>3998.3201524069791</v>
      </c>
      <c r="J23" s="10">
        <f>C23-155</f>
        <v>3845</v>
      </c>
      <c r="K23" s="10" t="s">
        <v>38</v>
      </c>
      <c r="L23" s="10">
        <f>COS(RADIANS(F23))*J23+118.9+134.8+20.4+33.1</f>
        <v>4133.1201524069793</v>
      </c>
      <c r="M23" s="10" t="s">
        <v>38</v>
      </c>
      <c r="N23" s="10" t="s">
        <v>38</v>
      </c>
      <c r="O23" s="10">
        <f>COS(RADIANS(F23))*J23+21.2+20.4+33.1</f>
        <v>3900.6201524069788</v>
      </c>
      <c r="P23" s="10">
        <f>$D$23+162.2</f>
        <v>2862.2</v>
      </c>
      <c r="Q23" s="11">
        <f>COS(RADIANS(F23))*J23+118.9+98.3+20.4+33.1</f>
        <v>4096.6201524069793</v>
      </c>
      <c r="R23" s="12">
        <f>COS(RADIANS(F23))*J23+217.2+20.4+33.1+117</f>
        <v>4213.6201524069793</v>
      </c>
      <c r="S23" s="15">
        <f t="shared" si="3"/>
        <v>2306</v>
      </c>
      <c r="T23" s="10">
        <f t="shared" si="5"/>
        <v>3900.6201524069788</v>
      </c>
      <c r="U23" s="2">
        <v>106</v>
      </c>
      <c r="V23" s="10">
        <f t="shared" si="4"/>
        <v>500</v>
      </c>
      <c r="W23" s="12">
        <f t="shared" si="6"/>
        <v>2700</v>
      </c>
      <c r="X23" s="141">
        <f>$D$23+190.8</f>
        <v>2890.8</v>
      </c>
      <c r="Y23" s="8"/>
      <c r="Z23" s="156"/>
      <c r="AA23" s="153"/>
      <c r="AB23" s="154">
        <f t="shared" si="1"/>
        <v>23</v>
      </c>
      <c r="AC23" s="157" t="s">
        <v>37</v>
      </c>
      <c r="AD23" s="157" t="s">
        <v>32</v>
      </c>
      <c r="AE23" s="157" t="s">
        <v>36</v>
      </c>
      <c r="AF23" s="153"/>
      <c r="AG23" s="153"/>
      <c r="AH23" s="153"/>
      <c r="AI23" s="153"/>
      <c r="AJ23" s="160"/>
      <c r="AK23" s="160"/>
      <c r="AL23" s="160"/>
      <c r="AM23" s="160"/>
      <c r="AN23" s="160"/>
      <c r="AO23" s="153"/>
      <c r="AP23" s="153"/>
    </row>
    <row r="24" spans="1:42" s="74" customFormat="1" ht="30" customHeight="1" x14ac:dyDescent="0.25">
      <c r="A24" s="102" t="s">
        <v>3</v>
      </c>
      <c r="B24" s="108">
        <f>Designline!B18</f>
        <v>2250</v>
      </c>
      <c r="C24" s="109">
        <f>Designline!C18</f>
        <v>4000</v>
      </c>
      <c r="D24" s="111">
        <f>Designline!D18</f>
        <v>2700</v>
      </c>
      <c r="E24" s="10" t="s">
        <v>38</v>
      </c>
      <c r="F24" s="52">
        <f>DEGREES(ASIN((D24+7.3-(B24+83.1))/(J24-41)))</f>
        <v>5.4167639192395987</v>
      </c>
      <c r="G24" s="52">
        <f t="shared" si="2"/>
        <v>94.823039340375232</v>
      </c>
      <c r="H24" s="57" t="s">
        <v>38</v>
      </c>
      <c r="I24" s="5">
        <f>((D24+7.3-(B24+83.1))/TAN(RADIANS(F24)))+70.4+13.9</f>
        <v>4030.5983110758357</v>
      </c>
      <c r="J24" s="10">
        <f>C24+5</f>
        <v>4005</v>
      </c>
      <c r="K24" s="10" t="s">
        <v>38</v>
      </c>
      <c r="L24" s="10">
        <f>((D24+7.3-(B24+83.1))/TAN(RADIANS(F24)))+184.9+13.9</f>
        <v>4145.0983110758352</v>
      </c>
      <c r="M24" s="2" t="s">
        <v>38</v>
      </c>
      <c r="N24" s="2" t="s">
        <v>38</v>
      </c>
      <c r="O24" s="10">
        <f>((D24+7.3-(B24+83.1))/TAN(RADIANS(F24)))+70.4+13.9-98</f>
        <v>3932.5983110758357</v>
      </c>
      <c r="P24" s="10">
        <f>$D$24+163.6</f>
        <v>2863.6</v>
      </c>
      <c r="Q24" s="11">
        <f>((D24+7.3-(B24+83.1))/TAN(RADIANS(F24)))+70.4+13+98</f>
        <v>4127.6983110758356</v>
      </c>
      <c r="R24" s="12">
        <f>((D24+7.3-(B24+83.1))/TAN(RADIANS(F24)))+70.4+13+98+117</f>
        <v>4244.6983110758356</v>
      </c>
      <c r="S24" s="15">
        <f t="shared" si="3"/>
        <v>2343</v>
      </c>
      <c r="T24" s="10">
        <f t="shared" si="5"/>
        <v>3932.5983110758357</v>
      </c>
      <c r="U24" s="2">
        <v>93</v>
      </c>
      <c r="V24" s="10">
        <f t="shared" si="4"/>
        <v>450</v>
      </c>
      <c r="W24" s="12">
        <f t="shared" si="6"/>
        <v>2700</v>
      </c>
      <c r="X24" s="141" t="s">
        <v>38</v>
      </c>
      <c r="Y24" s="92"/>
      <c r="Z24" s="156"/>
      <c r="AA24" s="153"/>
      <c r="AB24" s="154">
        <f t="shared" si="1"/>
        <v>24</v>
      </c>
      <c r="AC24" s="157" t="s">
        <v>40</v>
      </c>
      <c r="AD24" s="157" t="s">
        <v>8</v>
      </c>
      <c r="AE24" s="157" t="s">
        <v>39</v>
      </c>
      <c r="AF24" s="153"/>
      <c r="AG24" s="153"/>
      <c r="AH24" s="153"/>
      <c r="AI24" s="153"/>
      <c r="AJ24" s="160"/>
      <c r="AK24" s="160"/>
      <c r="AL24" s="160"/>
      <c r="AM24" s="160"/>
      <c r="AN24" s="160"/>
      <c r="AO24" s="153"/>
      <c r="AP24" s="153"/>
    </row>
    <row r="25" spans="1:42" s="74" customFormat="1" ht="30" customHeight="1" x14ac:dyDescent="0.25">
      <c r="A25" s="112" t="s">
        <v>33</v>
      </c>
      <c r="B25" s="113">
        <f>D25-218.5</f>
        <v>2066.5</v>
      </c>
      <c r="C25" s="109">
        <f>'Ultraline Classic'!C18</f>
        <v>4000</v>
      </c>
      <c r="D25" s="109">
        <f>'Ultraline Classic'!D18</f>
        <v>2285</v>
      </c>
      <c r="E25" s="109">
        <f>'Ultraline Classic'!E18</f>
        <v>500</v>
      </c>
      <c r="F25" s="52" t="s">
        <v>38</v>
      </c>
      <c r="G25" s="52" t="s">
        <v>38</v>
      </c>
      <c r="H25" s="53">
        <f>DEGREES(ATAN((155.2)/(O25+60)))</f>
        <v>2.6430685537056617</v>
      </c>
      <c r="I25" s="5">
        <f>L25-100</f>
        <v>3400</v>
      </c>
      <c r="J25" s="2">
        <f>C25-120</f>
        <v>3880</v>
      </c>
      <c r="K25" s="2" t="s">
        <v>38</v>
      </c>
      <c r="L25" s="2">
        <f>C25-E25</f>
        <v>3500</v>
      </c>
      <c r="M25" s="2" t="s">
        <v>38</v>
      </c>
      <c r="N25" s="2" t="s">
        <v>38</v>
      </c>
      <c r="O25" s="2">
        <f>I25-98</f>
        <v>3302</v>
      </c>
      <c r="P25" s="2">
        <f>$D$25+239.5</f>
        <v>2524.5</v>
      </c>
      <c r="Q25" s="7">
        <f>L25-2</f>
        <v>3498</v>
      </c>
      <c r="R25" s="3">
        <f>Q25+196</f>
        <v>3694</v>
      </c>
      <c r="S25" s="15">
        <f>B25+220</f>
        <v>2286.5</v>
      </c>
      <c r="T25" s="10">
        <f t="shared" si="5"/>
        <v>3302</v>
      </c>
      <c r="U25" s="2" t="s">
        <v>38</v>
      </c>
      <c r="V25" s="10" t="s">
        <v>38</v>
      </c>
      <c r="W25" s="12">
        <f t="shared" ref="W25:W30" si="7">S25</f>
        <v>2286.5</v>
      </c>
      <c r="X25" s="142" t="s">
        <v>38</v>
      </c>
      <c r="Y25" s="92"/>
      <c r="Z25" s="156"/>
      <c r="AA25" s="153"/>
      <c r="AB25" s="154">
        <v>25</v>
      </c>
      <c r="AC25" s="157" t="s">
        <v>75</v>
      </c>
      <c r="AD25" s="157" t="s">
        <v>76</v>
      </c>
      <c r="AE25" s="157" t="s">
        <v>77</v>
      </c>
      <c r="AF25" s="153"/>
      <c r="AG25" s="153"/>
      <c r="AH25" s="153"/>
      <c r="AI25" s="153"/>
      <c r="AJ25" s="160"/>
      <c r="AK25" s="160"/>
      <c r="AL25" s="160"/>
      <c r="AM25" s="160"/>
      <c r="AN25" s="160"/>
      <c r="AO25" s="153"/>
      <c r="AP25" s="153"/>
    </row>
    <row r="26" spans="1:42" s="74" customFormat="1" ht="30" customHeight="1" x14ac:dyDescent="0.25">
      <c r="A26" s="102" t="s">
        <v>34</v>
      </c>
      <c r="B26" s="113">
        <f>D26-218.5</f>
        <v>2242</v>
      </c>
      <c r="C26" s="109">
        <f>'Ultraline Style'!C18</f>
        <v>4306</v>
      </c>
      <c r="D26" s="109">
        <f>'Ultraline Style'!D18</f>
        <v>2460.5</v>
      </c>
      <c r="E26" s="10">
        <v>120</v>
      </c>
      <c r="F26" s="52" t="s">
        <v>38</v>
      </c>
      <c r="G26" s="52" t="s">
        <v>38</v>
      </c>
      <c r="H26" s="53">
        <f>DEGREES(ATAN((155.2)/(O26+60)))</f>
        <v>2.1324852668144909</v>
      </c>
      <c r="I26" s="5">
        <f>J26-100</f>
        <v>4206</v>
      </c>
      <c r="J26" s="2">
        <f>C26</f>
        <v>4306</v>
      </c>
      <c r="K26" s="2" t="s">
        <v>38</v>
      </c>
      <c r="L26" s="2">
        <f>J26</f>
        <v>4306</v>
      </c>
      <c r="M26" s="2" t="s">
        <v>38</v>
      </c>
      <c r="N26" s="2" t="s">
        <v>38</v>
      </c>
      <c r="O26" s="2">
        <f>I26-98</f>
        <v>4108</v>
      </c>
      <c r="P26" s="2">
        <f>$D$26+239.5</f>
        <v>2700</v>
      </c>
      <c r="Q26" s="7">
        <f>O26+196</f>
        <v>4304</v>
      </c>
      <c r="R26" s="3">
        <f>Q26+196</f>
        <v>4500</v>
      </c>
      <c r="S26" s="15">
        <f>B26+220</f>
        <v>2462</v>
      </c>
      <c r="T26" s="10">
        <f t="shared" si="5"/>
        <v>4108</v>
      </c>
      <c r="U26" s="2" t="s">
        <v>38</v>
      </c>
      <c r="V26" s="10" t="s">
        <v>38</v>
      </c>
      <c r="W26" s="12">
        <f t="shared" si="7"/>
        <v>2462</v>
      </c>
      <c r="X26" s="142" t="s">
        <v>38</v>
      </c>
      <c r="Y26" s="92"/>
      <c r="Z26" s="156"/>
      <c r="AA26" s="153"/>
      <c r="AB26" s="154">
        <f t="shared" ref="AB26" si="8">AB25+1</f>
        <v>26</v>
      </c>
      <c r="AC26" s="157" t="s">
        <v>119</v>
      </c>
      <c r="AD26" s="157" t="s">
        <v>71</v>
      </c>
      <c r="AE26" s="157" t="s">
        <v>72</v>
      </c>
      <c r="AF26" s="153"/>
      <c r="AG26" s="153"/>
      <c r="AH26" s="153"/>
      <c r="AI26" s="153"/>
      <c r="AJ26" s="160"/>
      <c r="AK26" s="160"/>
      <c r="AL26" s="160"/>
      <c r="AM26" s="160"/>
      <c r="AN26" s="160"/>
      <c r="AO26" s="153"/>
      <c r="AP26" s="153"/>
    </row>
    <row r="27" spans="1:42" s="74" customFormat="1" ht="30" customHeight="1" x14ac:dyDescent="0.25">
      <c r="A27" s="102" t="s">
        <v>35</v>
      </c>
      <c r="B27" s="113">
        <f>D27-218.5</f>
        <v>2181.5</v>
      </c>
      <c r="C27" s="109">
        <f>'Ultraline Compact'!C18</f>
        <v>4000</v>
      </c>
      <c r="D27" s="109">
        <f>'Ultraline Compact'!D18</f>
        <v>2400</v>
      </c>
      <c r="E27" s="10" t="s">
        <v>38</v>
      </c>
      <c r="F27" s="52" t="s">
        <v>38</v>
      </c>
      <c r="G27" s="52" t="s">
        <v>38</v>
      </c>
      <c r="H27" s="53">
        <f>DEGREES(ATAN((155.2)/(O27+60)))</f>
        <v>2.3012746606665702</v>
      </c>
      <c r="I27" s="5">
        <f>C27-100</f>
        <v>3900</v>
      </c>
      <c r="J27" s="2">
        <f>C27-120</f>
        <v>3880</v>
      </c>
      <c r="K27" s="2">
        <f>C27</f>
        <v>4000</v>
      </c>
      <c r="L27" s="2">
        <f>C27</f>
        <v>4000</v>
      </c>
      <c r="M27" s="2" t="s">
        <v>38</v>
      </c>
      <c r="N27" s="2" t="s">
        <v>38</v>
      </c>
      <c r="O27" s="2">
        <f>I27-98</f>
        <v>3802</v>
      </c>
      <c r="P27" s="2">
        <f>$D$27+239.5</f>
        <v>2639.5</v>
      </c>
      <c r="Q27" s="7">
        <f>I27+98</f>
        <v>3998</v>
      </c>
      <c r="R27" s="3">
        <f>Q27+196</f>
        <v>4194</v>
      </c>
      <c r="S27" s="15">
        <f>B27+220</f>
        <v>2401.5</v>
      </c>
      <c r="T27" s="10">
        <f t="shared" ref="T27" si="9">O27</f>
        <v>3802</v>
      </c>
      <c r="U27" s="2" t="s">
        <v>38</v>
      </c>
      <c r="V27" s="10" t="s">
        <v>38</v>
      </c>
      <c r="W27" s="12">
        <f t="shared" si="7"/>
        <v>2401.5</v>
      </c>
      <c r="X27" s="142" t="s">
        <v>38</v>
      </c>
      <c r="Y27" s="92"/>
      <c r="Z27" s="156"/>
      <c r="AA27" s="153"/>
      <c r="AB27" s="154">
        <v>27</v>
      </c>
      <c r="AC27" s="157" t="s">
        <v>97</v>
      </c>
      <c r="AD27" s="154" t="s">
        <v>96</v>
      </c>
      <c r="AE27" s="157" t="s">
        <v>98</v>
      </c>
      <c r="AF27" s="153"/>
      <c r="AG27" s="153"/>
      <c r="AH27" s="153"/>
      <c r="AI27" s="153"/>
      <c r="AJ27" s="160"/>
      <c r="AK27" s="160"/>
      <c r="AL27" s="160"/>
      <c r="AM27" s="160"/>
      <c r="AN27" s="160"/>
      <c r="AO27" s="153"/>
      <c r="AP27" s="153"/>
    </row>
    <row r="28" spans="1:42" s="74" customFormat="1" ht="25" customHeight="1" x14ac:dyDescent="0.25">
      <c r="A28" s="112" t="s">
        <v>87</v>
      </c>
      <c r="B28" s="114">
        <f>Skyline!B18</f>
        <v>2300</v>
      </c>
      <c r="C28" s="115">
        <f>Skyline!C18</f>
        <v>5000</v>
      </c>
      <c r="D28" s="23">
        <f>B28</f>
        <v>2300</v>
      </c>
      <c r="E28" s="10" t="s">
        <v>38</v>
      </c>
      <c r="F28" s="52" t="s">
        <v>38</v>
      </c>
      <c r="G28" s="52" t="s">
        <v>38</v>
      </c>
      <c r="H28" s="58">
        <f>DEGREES(ATAN((95)/(C28-133-50)))</f>
        <v>1.1298305003866769</v>
      </c>
      <c r="I28" s="5">
        <f>C28-160/2</f>
        <v>4920</v>
      </c>
      <c r="J28" s="20">
        <f>C28-60-3-3-18</f>
        <v>4916</v>
      </c>
      <c r="K28" s="20">
        <f>J28</f>
        <v>4916</v>
      </c>
      <c r="L28" s="20">
        <f>C28</f>
        <v>5000</v>
      </c>
      <c r="M28" s="2" t="s">
        <v>38</v>
      </c>
      <c r="N28" s="2" t="s">
        <v>38</v>
      </c>
      <c r="O28" s="20">
        <f>L28-160</f>
        <v>4840</v>
      </c>
      <c r="P28" s="20">
        <f>$D$28+242.1</f>
        <v>2542.1</v>
      </c>
      <c r="Q28" s="21">
        <f>C28</f>
        <v>5000</v>
      </c>
      <c r="R28" s="2" t="s">
        <v>38</v>
      </c>
      <c r="S28" s="22">
        <f>B28</f>
        <v>2300</v>
      </c>
      <c r="T28" s="23">
        <f>O28</f>
        <v>4840</v>
      </c>
      <c r="U28" s="2" t="s">
        <v>38</v>
      </c>
      <c r="V28" s="10" t="s">
        <v>38</v>
      </c>
      <c r="W28" s="24">
        <f t="shared" si="7"/>
        <v>2300</v>
      </c>
      <c r="X28" s="142" t="s">
        <v>38</v>
      </c>
      <c r="Z28" s="153"/>
      <c r="AA28" s="153"/>
      <c r="AB28" s="154">
        <f t="shared" ref="AB28:AB35" si="10">AB27+1</f>
        <v>28</v>
      </c>
      <c r="AC28" s="157" t="s">
        <v>110</v>
      </c>
      <c r="AD28" s="157" t="s">
        <v>111</v>
      </c>
      <c r="AE28" s="157" t="s">
        <v>112</v>
      </c>
      <c r="AF28" s="153"/>
      <c r="AG28" s="153"/>
      <c r="AH28" s="153"/>
      <c r="AI28" s="153"/>
      <c r="AJ28" s="160"/>
      <c r="AK28" s="160"/>
      <c r="AL28" s="160"/>
      <c r="AM28" s="160"/>
      <c r="AN28" s="160"/>
      <c r="AO28" s="153"/>
      <c r="AP28" s="153"/>
    </row>
    <row r="29" spans="1:42" s="74" customFormat="1" ht="25" customHeight="1" x14ac:dyDescent="0.25">
      <c r="A29" s="112" t="s">
        <v>92</v>
      </c>
      <c r="B29" s="114">
        <f>'Skyline Freistand'!B18</f>
        <v>2300</v>
      </c>
      <c r="C29" s="115">
        <f>'Skyline Freistand'!C18</f>
        <v>5000</v>
      </c>
      <c r="D29" s="23">
        <f>B29</f>
        <v>2300</v>
      </c>
      <c r="E29" s="29" t="s">
        <v>38</v>
      </c>
      <c r="F29" s="53" t="s">
        <v>38</v>
      </c>
      <c r="G29" s="53" t="s">
        <v>38</v>
      </c>
      <c r="H29" s="59">
        <f>DEGREES(ATAN((95)/(C29-133-62)))</f>
        <v>1.1326514032868704</v>
      </c>
      <c r="I29" s="5">
        <f>C29-160/2-160</f>
        <v>4760</v>
      </c>
      <c r="J29" s="37">
        <f>C29-60-3-3-60</f>
        <v>4874</v>
      </c>
      <c r="K29" s="37">
        <f>J29</f>
        <v>4874</v>
      </c>
      <c r="L29" s="37">
        <f>C29-160</f>
        <v>4840</v>
      </c>
      <c r="M29" s="38" t="s">
        <v>38</v>
      </c>
      <c r="N29" s="38" t="s">
        <v>38</v>
      </c>
      <c r="O29" s="37">
        <f>C29-2*160</f>
        <v>4680</v>
      </c>
      <c r="P29" s="37">
        <f>$D$29+242.1</f>
        <v>2542.1</v>
      </c>
      <c r="Q29" s="39">
        <f>L29</f>
        <v>4840</v>
      </c>
      <c r="R29" s="25">
        <f>C29</f>
        <v>5000</v>
      </c>
      <c r="S29" s="40">
        <f>B29</f>
        <v>2300</v>
      </c>
      <c r="T29" s="41">
        <f>O29</f>
        <v>4680</v>
      </c>
      <c r="U29" s="38" t="s">
        <v>38</v>
      </c>
      <c r="V29" s="29" t="s">
        <v>38</v>
      </c>
      <c r="W29" s="42">
        <f t="shared" ref="W29" si="11">S29</f>
        <v>2300</v>
      </c>
      <c r="X29" s="142" t="s">
        <v>38</v>
      </c>
      <c r="Z29" s="153"/>
      <c r="AA29" s="153"/>
      <c r="AB29" s="154">
        <f t="shared" si="10"/>
        <v>29</v>
      </c>
      <c r="AC29" s="157" t="s">
        <v>113</v>
      </c>
      <c r="AD29" s="157" t="s">
        <v>114</v>
      </c>
      <c r="AE29" s="157" t="s">
        <v>115</v>
      </c>
      <c r="AF29" s="153"/>
      <c r="AG29" s="153"/>
      <c r="AH29" s="153"/>
      <c r="AI29" s="153"/>
      <c r="AJ29" s="160"/>
      <c r="AK29" s="160"/>
      <c r="AL29" s="160"/>
      <c r="AM29" s="160"/>
      <c r="AN29" s="160"/>
      <c r="AO29" s="153"/>
      <c r="AP29" s="153"/>
    </row>
    <row r="30" spans="1:42" s="74" customFormat="1" ht="25" customHeight="1" x14ac:dyDescent="0.25">
      <c r="A30" s="102" t="s">
        <v>88</v>
      </c>
      <c r="B30" s="116">
        <f>Carport!B18</f>
        <v>2300</v>
      </c>
      <c r="C30" s="109">
        <f>Carport!C18</f>
        <v>5000</v>
      </c>
      <c r="D30" s="29">
        <f>B30</f>
        <v>2300</v>
      </c>
      <c r="E30" s="29" t="s">
        <v>38</v>
      </c>
      <c r="F30" s="56" t="s">
        <v>38</v>
      </c>
      <c r="G30" s="56" t="s">
        <v>38</v>
      </c>
      <c r="H30" s="53">
        <f>DEGREES(ATAN((28)/(C30-77-133)))</f>
        <v>0.33491932233163285</v>
      </c>
      <c r="I30" s="5">
        <f>C30-160/2</f>
        <v>4920</v>
      </c>
      <c r="J30" s="36" t="s">
        <v>38</v>
      </c>
      <c r="K30" s="38">
        <f>C30-60-3-3-18</f>
        <v>4916</v>
      </c>
      <c r="L30" s="38">
        <f>C30</f>
        <v>5000</v>
      </c>
      <c r="M30" s="38" t="s">
        <v>38</v>
      </c>
      <c r="N30" s="38" t="s">
        <v>38</v>
      </c>
      <c r="O30" s="38">
        <f>L30-160</f>
        <v>4840</v>
      </c>
      <c r="P30" s="38">
        <f>$D$30+242.1</f>
        <v>2542.1</v>
      </c>
      <c r="Q30" s="43">
        <f>C30</f>
        <v>5000</v>
      </c>
      <c r="R30" s="38" t="s">
        <v>38</v>
      </c>
      <c r="S30" s="27">
        <f>B30</f>
        <v>2300</v>
      </c>
      <c r="T30" s="29">
        <f>O30</f>
        <v>4840</v>
      </c>
      <c r="U30" s="38" t="s">
        <v>38</v>
      </c>
      <c r="V30" s="38" t="s">
        <v>38</v>
      </c>
      <c r="W30" s="30">
        <f t="shared" si="7"/>
        <v>2300</v>
      </c>
      <c r="X30" s="142" t="s">
        <v>38</v>
      </c>
      <c r="Z30" s="153"/>
      <c r="AA30" s="153"/>
      <c r="AB30" s="154">
        <f t="shared" si="10"/>
        <v>30</v>
      </c>
      <c r="AC30" s="157" t="s">
        <v>116</v>
      </c>
      <c r="AD30" s="157" t="s">
        <v>99</v>
      </c>
      <c r="AE30" s="157" t="s">
        <v>99</v>
      </c>
      <c r="AF30" s="153"/>
      <c r="AG30" s="153"/>
      <c r="AH30" s="153"/>
      <c r="AI30" s="153"/>
      <c r="AJ30" s="160"/>
      <c r="AK30" s="160"/>
      <c r="AL30" s="160"/>
      <c r="AM30" s="160"/>
      <c r="AN30" s="160"/>
      <c r="AO30" s="153"/>
      <c r="AP30" s="153"/>
    </row>
    <row r="31" spans="1:42" s="74" customFormat="1" ht="25" customHeight="1" x14ac:dyDescent="0.25">
      <c r="A31" s="117" t="s">
        <v>93</v>
      </c>
      <c r="B31" s="116">
        <f>'Carport Freistand'!B18</f>
        <v>2300</v>
      </c>
      <c r="C31" s="109">
        <f>'Carport Freistand'!C18</f>
        <v>5000</v>
      </c>
      <c r="D31" s="29">
        <f>B31</f>
        <v>2300</v>
      </c>
      <c r="E31" s="29" t="s">
        <v>38</v>
      </c>
      <c r="F31" s="56" t="s">
        <v>38</v>
      </c>
      <c r="G31" s="56" t="s">
        <v>38</v>
      </c>
      <c r="H31" s="53">
        <f>DEGREES(ATAN((28)/(C31-133-118)))</f>
        <v>0.33781074691671442</v>
      </c>
      <c r="I31" s="5">
        <f>C31-160/2-160</f>
        <v>4760</v>
      </c>
      <c r="J31" s="36" t="s">
        <v>38</v>
      </c>
      <c r="K31" s="38">
        <f>C31-60-3-3-60</f>
        <v>4874</v>
      </c>
      <c r="L31" s="38">
        <f>C31-160</f>
        <v>4840</v>
      </c>
      <c r="M31" s="38" t="s">
        <v>38</v>
      </c>
      <c r="N31" s="38" t="s">
        <v>38</v>
      </c>
      <c r="O31" s="38">
        <f>C31-2*160</f>
        <v>4680</v>
      </c>
      <c r="P31" s="38">
        <f>$D$31+242.1</f>
        <v>2542.1</v>
      </c>
      <c r="Q31" s="43">
        <f>C31-160</f>
        <v>4840</v>
      </c>
      <c r="R31" s="28">
        <f>C31</f>
        <v>5000</v>
      </c>
      <c r="S31" s="27">
        <f>B31</f>
        <v>2300</v>
      </c>
      <c r="T31" s="29">
        <f>O31</f>
        <v>4680</v>
      </c>
      <c r="U31" s="38" t="s">
        <v>38</v>
      </c>
      <c r="V31" s="38" t="s">
        <v>38</v>
      </c>
      <c r="W31" s="30">
        <f t="shared" ref="W31" si="12">S31</f>
        <v>2300</v>
      </c>
      <c r="X31" s="142" t="s">
        <v>38</v>
      </c>
      <c r="Z31" s="153"/>
      <c r="AA31" s="153"/>
      <c r="AB31" s="154">
        <f t="shared" si="10"/>
        <v>31</v>
      </c>
      <c r="AC31" s="157" t="s">
        <v>117</v>
      </c>
      <c r="AD31" s="157" t="s">
        <v>117</v>
      </c>
      <c r="AE31" s="157" t="s">
        <v>117</v>
      </c>
      <c r="AF31" s="153"/>
      <c r="AG31" s="153"/>
      <c r="AH31" s="153"/>
      <c r="AI31" s="153"/>
      <c r="AJ31" s="160"/>
      <c r="AK31" s="160"/>
      <c r="AL31" s="160"/>
      <c r="AM31" s="160"/>
      <c r="AN31" s="160"/>
      <c r="AO31" s="153"/>
      <c r="AP31" s="153"/>
    </row>
    <row r="32" spans="1:42" s="74" customFormat="1" ht="25" customHeight="1" x14ac:dyDescent="0.25">
      <c r="A32" s="117"/>
      <c r="B32" s="118"/>
      <c r="C32" s="119"/>
      <c r="D32" s="119"/>
      <c r="E32" s="119"/>
      <c r="F32" s="52"/>
      <c r="G32" s="52"/>
      <c r="H32" s="17"/>
      <c r="I32" s="2"/>
      <c r="J32" s="2"/>
      <c r="K32" s="2"/>
      <c r="L32" s="38"/>
      <c r="M32" s="38"/>
      <c r="N32" s="38"/>
      <c r="O32" s="38"/>
      <c r="P32" s="38"/>
      <c r="Q32" s="43"/>
      <c r="R32" s="28"/>
      <c r="S32" s="44"/>
      <c r="T32" s="38"/>
      <c r="U32" s="38"/>
      <c r="V32" s="38"/>
      <c r="W32" s="28"/>
      <c r="X32" s="143"/>
      <c r="Z32" s="153"/>
      <c r="AA32" s="153"/>
      <c r="AB32" s="154">
        <f t="shared" si="10"/>
        <v>32</v>
      </c>
      <c r="AC32" s="157" t="s">
        <v>120</v>
      </c>
      <c r="AD32" s="157" t="s">
        <v>121</v>
      </c>
      <c r="AE32" s="157" t="s">
        <v>122</v>
      </c>
      <c r="AF32" s="153"/>
      <c r="AG32" s="153"/>
      <c r="AH32" s="153"/>
      <c r="AI32" s="153"/>
      <c r="AJ32" s="160"/>
      <c r="AK32" s="160"/>
      <c r="AL32" s="160"/>
      <c r="AM32" s="160"/>
      <c r="AN32" s="160"/>
      <c r="AO32" s="153"/>
      <c r="AP32" s="153"/>
    </row>
    <row r="33" spans="1:42" s="74" customFormat="1" ht="25" customHeight="1" x14ac:dyDescent="0.25">
      <c r="A33" s="102"/>
      <c r="B33" s="118"/>
      <c r="C33" s="119"/>
      <c r="D33" s="119"/>
      <c r="E33" s="120"/>
      <c r="F33" s="53"/>
      <c r="G33" s="53"/>
      <c r="H33" s="36"/>
      <c r="I33" s="2"/>
      <c r="J33" s="38"/>
      <c r="K33" s="38"/>
      <c r="L33" s="38"/>
      <c r="M33" s="38"/>
      <c r="N33" s="38"/>
      <c r="O33" s="38"/>
      <c r="P33" s="38"/>
      <c r="Q33" s="43"/>
      <c r="R33" s="28"/>
      <c r="S33" s="44"/>
      <c r="T33" s="38"/>
      <c r="U33" s="38"/>
      <c r="V33" s="38"/>
      <c r="W33" s="28"/>
      <c r="X33" s="143"/>
      <c r="Z33" s="153"/>
      <c r="AA33" s="153"/>
      <c r="AB33" s="154">
        <f t="shared" si="10"/>
        <v>33</v>
      </c>
      <c r="AC33" s="157" t="s">
        <v>123</v>
      </c>
      <c r="AD33" s="157" t="s">
        <v>124</v>
      </c>
      <c r="AE33" s="157" t="s">
        <v>125</v>
      </c>
      <c r="AF33" s="153"/>
      <c r="AG33" s="153"/>
      <c r="AH33" s="153"/>
      <c r="AI33" s="153"/>
      <c r="AJ33" s="160"/>
      <c r="AK33" s="160"/>
      <c r="AL33" s="160"/>
      <c r="AM33" s="160"/>
      <c r="AN33" s="160"/>
      <c r="AO33" s="153"/>
      <c r="AP33" s="153"/>
    </row>
    <row r="34" spans="1:42" s="74" customFormat="1" ht="25" customHeight="1" thickBot="1" x14ac:dyDescent="0.3">
      <c r="A34" s="121"/>
      <c r="B34" s="122"/>
      <c r="C34" s="123"/>
      <c r="D34" s="46"/>
      <c r="E34" s="124"/>
      <c r="F34" s="54"/>
      <c r="G34" s="54"/>
      <c r="H34" s="45"/>
      <c r="I34" s="46"/>
      <c r="J34" s="47"/>
      <c r="K34" s="46"/>
      <c r="L34" s="47"/>
      <c r="M34" s="46"/>
      <c r="N34" s="46"/>
      <c r="O34" s="47"/>
      <c r="P34" s="47"/>
      <c r="Q34" s="48"/>
      <c r="R34" s="31"/>
      <c r="S34" s="49"/>
      <c r="T34" s="47"/>
      <c r="U34" s="50"/>
      <c r="V34" s="47"/>
      <c r="W34" s="31"/>
      <c r="X34" s="144"/>
      <c r="Z34" s="153"/>
      <c r="AA34" s="153"/>
      <c r="AB34" s="154">
        <f t="shared" si="10"/>
        <v>34</v>
      </c>
      <c r="AC34" s="157" t="s">
        <v>126</v>
      </c>
      <c r="AD34" s="157" t="s">
        <v>127</v>
      </c>
      <c r="AE34" s="157" t="s">
        <v>128</v>
      </c>
      <c r="AF34" s="153"/>
      <c r="AG34" s="153"/>
      <c r="AH34" s="153"/>
      <c r="AI34" s="153"/>
      <c r="AJ34" s="160"/>
      <c r="AK34" s="160"/>
      <c r="AL34" s="160"/>
      <c r="AM34" s="160"/>
      <c r="AN34" s="160"/>
      <c r="AO34" s="153"/>
      <c r="AP34" s="153"/>
    </row>
    <row r="35" spans="1:42" s="74" customFormat="1" ht="25" customHeight="1" x14ac:dyDescent="0.2">
      <c r="F35" s="79"/>
      <c r="G35" s="79"/>
      <c r="H35" s="79"/>
      <c r="I35" s="218"/>
      <c r="J35" s="79"/>
      <c r="K35" s="79"/>
      <c r="L35" s="79"/>
      <c r="M35" s="125"/>
      <c r="X35" s="145"/>
      <c r="Z35" s="153"/>
      <c r="AA35" s="153"/>
      <c r="AB35" s="154">
        <f t="shared" si="10"/>
        <v>35</v>
      </c>
      <c r="AC35" s="154"/>
      <c r="AD35" s="154"/>
      <c r="AE35" s="154"/>
      <c r="AF35" s="153"/>
      <c r="AG35" s="153"/>
      <c r="AH35" s="153"/>
      <c r="AI35" s="153"/>
      <c r="AJ35" s="160"/>
      <c r="AK35" s="160"/>
      <c r="AL35" s="160"/>
      <c r="AM35" s="160"/>
      <c r="AN35" s="160"/>
      <c r="AO35" s="153"/>
      <c r="AP35" s="153"/>
    </row>
    <row r="36" spans="1:42" s="74" customFormat="1" ht="25" customHeight="1" x14ac:dyDescent="0.2">
      <c r="F36" s="79"/>
      <c r="G36" s="79"/>
      <c r="H36" s="79"/>
      <c r="I36" s="218"/>
      <c r="J36" s="79"/>
      <c r="K36" s="79"/>
      <c r="L36" s="79"/>
      <c r="M36" s="125"/>
      <c r="X36" s="145"/>
      <c r="Z36" s="153"/>
      <c r="AA36" s="153"/>
      <c r="AB36" s="154"/>
      <c r="AC36" s="154"/>
      <c r="AD36" s="154"/>
      <c r="AE36" s="154"/>
      <c r="AF36" s="153"/>
      <c r="AG36" s="153"/>
      <c r="AH36" s="153"/>
      <c r="AI36" s="153"/>
      <c r="AJ36" s="160"/>
      <c r="AK36" s="160"/>
      <c r="AL36" s="160"/>
      <c r="AM36" s="160"/>
      <c r="AN36" s="160"/>
      <c r="AO36" s="153"/>
      <c r="AP36" s="153"/>
    </row>
    <row r="37" spans="1:42" s="74" customFormat="1" ht="25" customHeight="1" x14ac:dyDescent="0.2">
      <c r="F37" s="79"/>
      <c r="G37" s="79"/>
      <c r="H37" s="79"/>
      <c r="I37" s="218"/>
      <c r="J37" s="79"/>
      <c r="K37" s="79"/>
      <c r="L37" s="79"/>
      <c r="M37" s="125"/>
      <c r="X37" s="146"/>
      <c r="Z37" s="153"/>
      <c r="AA37" s="153"/>
      <c r="AB37" s="154"/>
      <c r="AC37" s="154"/>
      <c r="AD37" s="154"/>
      <c r="AE37" s="154"/>
      <c r="AF37" s="153"/>
      <c r="AG37" s="153"/>
      <c r="AH37" s="153"/>
      <c r="AI37" s="153"/>
      <c r="AJ37" s="160"/>
      <c r="AK37" s="160"/>
      <c r="AL37" s="160"/>
      <c r="AM37" s="160"/>
      <c r="AN37" s="160"/>
      <c r="AO37" s="153"/>
      <c r="AP37" s="153"/>
    </row>
    <row r="38" spans="1:42" s="74" customFormat="1" ht="25" customHeight="1" x14ac:dyDescent="0.2">
      <c r="F38" s="79"/>
      <c r="G38" s="79"/>
      <c r="H38" s="79"/>
      <c r="I38" s="218"/>
      <c r="J38" s="79"/>
      <c r="K38" s="79"/>
      <c r="L38" s="79"/>
      <c r="M38" s="125"/>
      <c r="Z38" s="153"/>
      <c r="AA38" s="153"/>
      <c r="AB38" s="154"/>
      <c r="AC38" s="154"/>
      <c r="AD38" s="154"/>
      <c r="AE38" s="154"/>
      <c r="AF38" s="153"/>
      <c r="AG38" s="153"/>
      <c r="AH38" s="153"/>
      <c r="AI38" s="153"/>
      <c r="AJ38" s="160"/>
      <c r="AK38" s="160"/>
      <c r="AL38" s="160"/>
      <c r="AM38" s="160"/>
      <c r="AN38" s="160"/>
      <c r="AO38" s="153"/>
      <c r="AP38" s="153"/>
    </row>
    <row r="39" spans="1:42" s="74" customFormat="1" ht="25" customHeight="1" x14ac:dyDescent="0.2">
      <c r="F39" s="79"/>
      <c r="G39" s="79"/>
      <c r="H39" s="79"/>
      <c r="I39" s="218"/>
      <c r="J39" s="79"/>
      <c r="K39" s="79"/>
      <c r="L39" s="79"/>
      <c r="M39" s="125"/>
      <c r="Z39" s="153"/>
      <c r="AA39" s="153"/>
      <c r="AB39" s="154"/>
      <c r="AC39" s="154"/>
      <c r="AD39" s="154"/>
      <c r="AE39" s="154"/>
      <c r="AF39" s="153"/>
      <c r="AG39" s="153"/>
      <c r="AH39" s="153"/>
      <c r="AI39" s="153"/>
      <c r="AJ39" s="160"/>
      <c r="AK39" s="160"/>
      <c r="AL39" s="160"/>
      <c r="AM39" s="160"/>
      <c r="AN39" s="160"/>
      <c r="AO39" s="153"/>
      <c r="AP39" s="153"/>
    </row>
    <row r="40" spans="1:42" s="74" customFormat="1" ht="25" customHeight="1" x14ac:dyDescent="0.2">
      <c r="I40" s="218"/>
      <c r="J40" s="79"/>
      <c r="K40" s="79"/>
      <c r="L40" s="79"/>
      <c r="M40" s="79"/>
      <c r="Z40" s="153"/>
      <c r="AA40" s="153"/>
      <c r="AB40" s="154"/>
      <c r="AC40" s="154"/>
      <c r="AD40" s="154"/>
      <c r="AE40" s="154"/>
      <c r="AF40" s="153"/>
      <c r="AG40" s="153"/>
      <c r="AH40" s="153"/>
      <c r="AI40" s="153"/>
      <c r="AJ40" s="160"/>
      <c r="AK40" s="160"/>
      <c r="AL40" s="160"/>
      <c r="AM40" s="160"/>
      <c r="AN40" s="160"/>
      <c r="AO40" s="153"/>
      <c r="AP40" s="153"/>
    </row>
    <row r="41" spans="1:42" s="74" customFormat="1" ht="25" customHeight="1" x14ac:dyDescent="0.2"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53"/>
      <c r="AP41" s="153"/>
    </row>
    <row r="42" spans="1:42" s="74" customFormat="1" ht="25" customHeight="1" x14ac:dyDescent="0.2"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53"/>
      <c r="AP42" s="153"/>
    </row>
    <row r="43" spans="1:42" s="74" customFormat="1" ht="25" customHeight="1" x14ac:dyDescent="0.2"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60"/>
      <c r="AO43" s="153"/>
      <c r="AP43" s="153"/>
    </row>
    <row r="44" spans="1:42" s="74" customFormat="1" ht="25" customHeight="1" x14ac:dyDescent="0.2"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0"/>
      <c r="AN44" s="160"/>
      <c r="AO44" s="153"/>
      <c r="AP44" s="153"/>
    </row>
    <row r="45" spans="1:42" s="74" customFormat="1" ht="25" customHeight="1" x14ac:dyDescent="0.2"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0"/>
      <c r="AN45" s="160"/>
      <c r="AO45" s="153"/>
      <c r="AP45" s="153"/>
    </row>
    <row r="46" spans="1:42" s="74" customFormat="1" ht="25" customHeight="1" x14ac:dyDescent="0.2"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53"/>
      <c r="AP46" s="153"/>
    </row>
    <row r="47" spans="1:42" s="74" customFormat="1" ht="25" customHeight="1" x14ac:dyDescent="0.2"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53"/>
      <c r="AP47" s="153"/>
    </row>
    <row r="48" spans="1:42" s="74" customFormat="1" ht="25" customHeight="1" x14ac:dyDescent="0.2"/>
    <row r="49" s="74" customFormat="1" ht="25" customHeight="1" x14ac:dyDescent="0.2"/>
    <row r="50" s="74" customFormat="1" ht="25" customHeight="1" x14ac:dyDescent="0.2"/>
    <row r="51" s="74" customFormat="1" ht="25" customHeight="1" x14ac:dyDescent="0.2"/>
    <row r="52" s="74" customFormat="1" ht="25" customHeight="1" x14ac:dyDescent="0.2"/>
    <row r="53" s="74" customFormat="1" ht="25" customHeight="1" x14ac:dyDescent="0.2"/>
    <row r="54" s="74" customFormat="1" ht="25" customHeight="1" x14ac:dyDescent="0.2"/>
    <row r="55" s="74" customFormat="1" ht="25" customHeight="1" x14ac:dyDescent="0.2"/>
    <row r="56" s="74" customFormat="1" ht="25" customHeight="1" x14ac:dyDescent="0.2"/>
    <row r="57" s="74" customFormat="1" ht="25" customHeight="1" x14ac:dyDescent="0.2"/>
    <row r="58" s="74" customFormat="1" ht="25" customHeight="1" x14ac:dyDescent="0.2"/>
    <row r="59" s="74" customFormat="1" ht="25" customHeight="1" x14ac:dyDescent="0.2"/>
    <row r="60" s="74" customFormat="1" ht="25" customHeight="1" x14ac:dyDescent="0.2"/>
    <row r="61" s="74" customFormat="1" ht="25" customHeight="1" x14ac:dyDescent="0.2"/>
    <row r="62" s="74" customFormat="1" ht="25" customHeight="1" x14ac:dyDescent="0.2"/>
    <row r="63" s="74" customFormat="1" ht="25" customHeight="1" x14ac:dyDescent="0.2"/>
    <row r="64" s="74" customFormat="1" ht="25" customHeight="1" x14ac:dyDescent="0.2"/>
    <row r="65" s="74" customFormat="1" x14ac:dyDescent="0.2"/>
    <row r="66" s="74" customFormat="1" x14ac:dyDescent="0.2"/>
    <row r="67" s="74" customFormat="1" x14ac:dyDescent="0.2"/>
    <row r="68" s="74" customFormat="1" x14ac:dyDescent="0.2"/>
    <row r="69" s="74" customFormat="1" x14ac:dyDescent="0.2"/>
    <row r="70" s="74" customFormat="1" x14ac:dyDescent="0.2"/>
    <row r="71" s="74" customFormat="1" x14ac:dyDescent="0.2"/>
    <row r="72" s="74" customFormat="1" x14ac:dyDescent="0.2"/>
    <row r="73" s="74" customFormat="1" x14ac:dyDescent="0.2"/>
    <row r="74" s="74" customFormat="1" x14ac:dyDescent="0.2"/>
    <row r="75" s="74" customFormat="1" x14ac:dyDescent="0.2"/>
    <row r="76" s="74" customFormat="1" x14ac:dyDescent="0.2"/>
    <row r="77" s="74" customFormat="1" x14ac:dyDescent="0.2"/>
    <row r="78" s="74" customFormat="1" x14ac:dyDescent="0.2"/>
    <row r="79" s="74" customFormat="1" x14ac:dyDescent="0.2"/>
    <row r="80" s="74" customFormat="1" x14ac:dyDescent="0.2"/>
    <row r="81" s="74" customFormat="1" x14ac:dyDescent="0.2"/>
    <row r="82" s="74" customFormat="1" x14ac:dyDescent="0.2"/>
    <row r="83" s="74" customFormat="1" x14ac:dyDescent="0.2"/>
    <row r="84" s="74" customFormat="1" x14ac:dyDescent="0.2"/>
    <row r="85" s="74" customFormat="1" x14ac:dyDescent="0.2"/>
    <row r="86" s="74" customFormat="1" x14ac:dyDescent="0.2"/>
    <row r="87" s="74" customFormat="1" x14ac:dyDescent="0.2"/>
    <row r="88" s="74" customFormat="1" x14ac:dyDescent="0.2"/>
    <row r="89" s="74" customFormat="1" x14ac:dyDescent="0.2"/>
    <row r="90" s="74" customFormat="1" x14ac:dyDescent="0.2"/>
    <row r="91" s="74" customFormat="1" x14ac:dyDescent="0.2"/>
    <row r="92" s="74" customFormat="1" x14ac:dyDescent="0.2"/>
    <row r="93" s="74" customFormat="1" x14ac:dyDescent="0.2"/>
    <row r="94" s="74" customFormat="1" x14ac:dyDescent="0.2"/>
    <row r="95" s="74" customFormat="1" x14ac:dyDescent="0.2"/>
    <row r="96" s="74" customFormat="1" x14ac:dyDescent="0.2"/>
    <row r="97" s="74" customFormat="1" x14ac:dyDescent="0.2"/>
    <row r="98" s="74" customFormat="1" x14ac:dyDescent="0.2"/>
    <row r="99" s="74" customFormat="1" x14ac:dyDescent="0.2"/>
    <row r="100" s="74" customFormat="1" x14ac:dyDescent="0.2"/>
  </sheetData>
  <sheetProtection algorithmName="SHA-512" hashValue="AIlOu+U9PmPAP66zMtd0BfULhlo59Id8in6+XYmNnJZ/ouNV7YxoKNVvcjSAmLrbvHx/HMCrhLbRJiu7sqKzeg==" saltValue="uTsb8ZKjqdUXpxQWvA2Lzg==" spinCount="100000" sheet="1" autoFilter="0" pivotTables="0"/>
  <mergeCells count="28">
    <mergeCell ref="U1:V1"/>
    <mergeCell ref="U2:V2"/>
    <mergeCell ref="Q12:Q17"/>
    <mergeCell ref="R12:R17"/>
    <mergeCell ref="S11:W11"/>
    <mergeCell ref="A11:R11"/>
    <mergeCell ref="P12:P17"/>
    <mergeCell ref="D12:D17"/>
    <mergeCell ref="F12:F17"/>
    <mergeCell ref="I12:I17"/>
    <mergeCell ref="M12:M17"/>
    <mergeCell ref="N12:N17"/>
    <mergeCell ref="B12:B17"/>
    <mergeCell ref="J12:J17"/>
    <mergeCell ref="L12:L17"/>
    <mergeCell ref="V12:V17"/>
    <mergeCell ref="X12:X17"/>
    <mergeCell ref="W12:W17"/>
    <mergeCell ref="O12:O17"/>
    <mergeCell ref="C12:C17"/>
    <mergeCell ref="I35:I40"/>
    <mergeCell ref="U12:U17"/>
    <mergeCell ref="S12:S17"/>
    <mergeCell ref="T12:T17"/>
    <mergeCell ref="G12:G17"/>
    <mergeCell ref="K12:K17"/>
    <mergeCell ref="E12:E17"/>
    <mergeCell ref="H12:H17"/>
  </mergeCells>
  <dataValidations disablePrompts="1" count="1">
    <dataValidation type="list" allowBlank="1" showInputMessage="1" showErrorMessage="1" sqref="W2" xr:uid="{B9EA4057-C8D9-41CE-97A0-9D131FE83E02}">
      <formula1>$AA$2:$AA$4</formula1>
    </dataValidation>
  </dataValidations>
  <pageMargins left="0.7" right="0.7" top="0.75" bottom="0.75" header="0.3" footer="0.3"/>
  <pageSetup paperSize="9" scale="74" orientation="landscape" r:id="rId1"/>
  <ignoredErrors>
    <ignoredError sqref="D30 D28" unlockedFormula="1"/>
    <ignoredError sqref="R20 I29 L29 Q29 O29" 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9DC2-D071-4431-A174-686F2BE7118E}">
  <sheetPr codeName="Tabelle3"/>
  <dimension ref="B2:F11"/>
  <sheetViews>
    <sheetView windowProtection="1" workbookViewId="0">
      <selection activeCell="BW14" sqref="BW14"/>
    </sheetView>
  </sheetViews>
  <sheetFormatPr baseColWidth="10" defaultRowHeight="15" x14ac:dyDescent="0.2"/>
  <sheetData>
    <row r="2" spans="2:6" ht="16" thickBot="1" x14ac:dyDescent="0.25"/>
    <row r="3" spans="2:6" x14ac:dyDescent="0.2">
      <c r="B3" s="219" t="s">
        <v>61</v>
      </c>
      <c r="C3" s="220"/>
      <c r="D3" s="6" t="s">
        <v>7</v>
      </c>
    </row>
    <row r="4" spans="2:6" ht="16" thickBot="1" x14ac:dyDescent="0.25">
      <c r="B4" s="221" t="s">
        <v>8</v>
      </c>
      <c r="C4" s="222"/>
      <c r="D4" s="14" t="s">
        <v>9</v>
      </c>
      <c r="F4" t="s">
        <v>68</v>
      </c>
    </row>
    <row r="5" spans="2:6" x14ac:dyDescent="0.2">
      <c r="F5" t="s">
        <v>69</v>
      </c>
    </row>
    <row r="11" spans="2:6" x14ac:dyDescent="0.2">
      <c r="F11" t="s">
        <v>70</v>
      </c>
    </row>
  </sheetData>
  <sheetProtection algorithmName="SHA-512" hashValue="xRz/cMfDSS0MqDOhI3LLWM/uhUAowXZ7lPBo8w/rmItWHhgKwZuDf1iRHDj9o78tCEOqlhP4M82sIjHyy1Ov9w==" saltValue="Pkt+U+u4H99drG9hnlv9Uw==" spinCount="100000" sheet="1" objects="1" scenarios="1" selectLockedCells="1" autoFilter="0" pivotTables="0" selectUnlockedCells="1"/>
  <mergeCells count="2">
    <mergeCell ref="B3:C3"/>
    <mergeCell ref="B4:C4"/>
  </mergeCells>
  <dataValidations disablePrompts="1" count="1">
    <dataValidation type="list" allowBlank="1" showInputMessage="1" showErrorMessage="1" sqref="D4" xr:uid="{D53974A9-1337-4382-BED8-30F8BF705D00}">
      <formula1>$Y$2:$Y$4</formula1>
    </dataValidation>
  </dataValidations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5FB5-47F8-4A42-9CA2-AEF6C671B95E}">
  <sheetPr>
    <tabColor rgb="FFFF0000"/>
  </sheetPr>
  <dimension ref="A1:Y45"/>
  <sheetViews>
    <sheetView windowProtection="1" zoomScale="175" zoomScaleNormal="175" workbookViewId="0">
      <selection activeCell="I12" sqref="I12"/>
    </sheetView>
  </sheetViews>
  <sheetFormatPr baseColWidth="10" defaultRowHeight="15" x14ac:dyDescent="0.2"/>
  <cols>
    <col min="1" max="1" width="11.5" style="129"/>
    <col min="2" max="2" width="12.5" style="129" customWidth="1"/>
    <col min="3" max="3" width="16.6640625" style="129" customWidth="1"/>
    <col min="4" max="4" width="0.5" style="129" customWidth="1"/>
    <col min="5" max="5" width="16.6640625" style="129" customWidth="1"/>
    <col min="6" max="6" width="11.5" style="129" customWidth="1"/>
    <col min="7" max="14" width="11.5" style="129"/>
    <col min="15" max="15" width="29.83203125" style="129" bestFit="1" customWidth="1"/>
    <col min="16" max="25" width="11.5" style="129"/>
  </cols>
  <sheetData>
    <row r="1" spans="1:11" s="129" customFormat="1" ht="15" customHeight="1" x14ac:dyDescent="0.2">
      <c r="A1" s="71"/>
      <c r="B1" s="72"/>
      <c r="C1" s="223" t="s">
        <v>106</v>
      </c>
      <c r="D1" s="223"/>
      <c r="E1" s="224"/>
      <c r="F1" s="131"/>
      <c r="G1" s="131"/>
      <c r="H1" s="131"/>
    </row>
    <row r="2" spans="1:11" s="129" customFormat="1" ht="15" customHeight="1" x14ac:dyDescent="0.2">
      <c r="A2" s="75"/>
      <c r="B2" s="74"/>
      <c r="C2" s="225"/>
      <c r="D2" s="225"/>
      <c r="E2" s="226"/>
      <c r="F2" s="131"/>
      <c r="G2" s="131"/>
      <c r="H2" s="131"/>
      <c r="J2" s="132"/>
      <c r="K2" s="132"/>
    </row>
    <row r="3" spans="1:11" s="129" customFormat="1" ht="15" customHeight="1" thickBot="1" x14ac:dyDescent="0.25">
      <c r="A3" s="75"/>
      <c r="B3" s="74"/>
      <c r="C3" s="227"/>
      <c r="D3" s="225"/>
      <c r="E3" s="228"/>
      <c r="F3" s="131"/>
      <c r="G3" s="131"/>
      <c r="H3" s="131"/>
      <c r="J3" s="132"/>
      <c r="K3" s="132"/>
    </row>
    <row r="4" spans="1:11" s="129" customFormat="1" ht="36.75" customHeight="1" thickBot="1" x14ac:dyDescent="0.3">
      <c r="A4" s="126"/>
      <c r="B4" s="127"/>
      <c r="C4" s="130" t="s">
        <v>107</v>
      </c>
      <c r="D4" s="133"/>
      <c r="E4" s="128" t="s">
        <v>108</v>
      </c>
    </row>
    <row r="5" spans="1:11" s="129" customFormat="1" ht="21" customHeight="1" x14ac:dyDescent="0.25">
      <c r="A5" s="229" t="s">
        <v>102</v>
      </c>
      <c r="B5" s="230"/>
      <c r="C5" s="136">
        <v>7950</v>
      </c>
      <c r="D5" s="134"/>
      <c r="E5" s="152">
        <f>(E8*E6)+(E7*55)+6</f>
        <v>5056</v>
      </c>
    </row>
    <row r="6" spans="1:11" s="129" customFormat="1" ht="21" customHeight="1" x14ac:dyDescent="0.25">
      <c r="A6" s="231" t="s">
        <v>103</v>
      </c>
      <c r="B6" s="232"/>
      <c r="C6" s="137">
        <v>8</v>
      </c>
      <c r="D6" s="134"/>
      <c r="E6" s="138">
        <v>5</v>
      </c>
    </row>
    <row r="7" spans="1:11" s="129" customFormat="1" ht="21" customHeight="1" x14ac:dyDescent="0.25">
      <c r="A7" s="231" t="s">
        <v>104</v>
      </c>
      <c r="B7" s="232"/>
      <c r="C7" s="147">
        <f>C6+1</f>
        <v>9</v>
      </c>
      <c r="D7" s="134"/>
      <c r="E7" s="150">
        <f>E6+1</f>
        <v>6</v>
      </c>
    </row>
    <row r="8" spans="1:11" s="129" customFormat="1" ht="21" customHeight="1" x14ac:dyDescent="0.25">
      <c r="A8" s="231" t="s">
        <v>105</v>
      </c>
      <c r="B8" s="232"/>
      <c r="C8" s="148">
        <f>((C5-6)-(C7*55))/C6</f>
        <v>931.125</v>
      </c>
      <c r="D8" s="134"/>
      <c r="E8" s="151">
        <f>E9-(2*18)</f>
        <v>944</v>
      </c>
    </row>
    <row r="9" spans="1:11" s="129" customFormat="1" ht="21" customHeight="1" thickBot="1" x14ac:dyDescent="0.3">
      <c r="A9" s="233" t="s">
        <v>109</v>
      </c>
      <c r="B9" s="234"/>
      <c r="C9" s="149">
        <f>((C5-6)-(C7*55))/C6+(2*16)</f>
        <v>963.125</v>
      </c>
      <c r="D9" s="135"/>
      <c r="E9" s="139">
        <v>980</v>
      </c>
    </row>
    <row r="10" spans="1:11" s="129" customFormat="1" x14ac:dyDescent="0.2"/>
    <row r="11" spans="1:11" s="129" customFormat="1" x14ac:dyDescent="0.2"/>
    <row r="12" spans="1:11" s="129" customFormat="1" x14ac:dyDescent="0.2"/>
    <row r="13" spans="1:11" s="129" customFormat="1" x14ac:dyDescent="0.2"/>
    <row r="14" spans="1:11" s="129" customFormat="1" x14ac:dyDescent="0.2"/>
    <row r="15" spans="1:11" s="129" customFormat="1" x14ac:dyDescent="0.2"/>
    <row r="16" spans="1:11" s="129" customFormat="1" x14ac:dyDescent="0.2"/>
    <row r="17" s="129" customFormat="1" x14ac:dyDescent="0.2"/>
    <row r="18" s="129" customFormat="1" x14ac:dyDescent="0.2"/>
    <row r="19" s="129" customFormat="1" x14ac:dyDescent="0.2"/>
    <row r="20" s="129" customFormat="1" x14ac:dyDescent="0.2"/>
    <row r="21" s="129" customFormat="1" x14ac:dyDescent="0.2"/>
    <row r="22" s="129" customFormat="1" x14ac:dyDescent="0.2"/>
    <row r="23" s="129" customFormat="1" x14ac:dyDescent="0.2"/>
    <row r="24" s="129" customFormat="1" x14ac:dyDescent="0.2"/>
    <row r="25" s="129" customFormat="1" x14ac:dyDescent="0.2"/>
    <row r="26" s="129" customFormat="1" x14ac:dyDescent="0.2"/>
    <row r="27" s="129" customFormat="1" x14ac:dyDescent="0.2"/>
    <row r="28" s="129" customFormat="1" x14ac:dyDescent="0.2"/>
    <row r="29" s="129" customFormat="1" x14ac:dyDescent="0.2"/>
    <row r="30" s="129" customFormat="1" x14ac:dyDescent="0.2"/>
    <row r="31" s="129" customFormat="1" x14ac:dyDescent="0.2"/>
    <row r="32" s="129" customFormat="1" x14ac:dyDescent="0.2"/>
    <row r="33" s="129" customFormat="1" x14ac:dyDescent="0.2"/>
    <row r="34" s="129" customFormat="1" x14ac:dyDescent="0.2"/>
    <row r="35" s="129" customFormat="1" x14ac:dyDescent="0.2"/>
    <row r="36" s="129" customFormat="1" x14ac:dyDescent="0.2"/>
    <row r="37" s="129" customFormat="1" x14ac:dyDescent="0.2"/>
    <row r="38" s="129" customFormat="1" x14ac:dyDescent="0.2"/>
    <row r="39" s="129" customFormat="1" x14ac:dyDescent="0.2"/>
    <row r="40" s="129" customFormat="1" x14ac:dyDescent="0.2"/>
    <row r="41" s="129" customFormat="1" x14ac:dyDescent="0.2"/>
    <row r="42" s="129" customFormat="1" x14ac:dyDescent="0.2"/>
    <row r="43" s="129" customFormat="1" x14ac:dyDescent="0.2"/>
    <row r="44" s="129" customFormat="1" x14ac:dyDescent="0.2"/>
    <row r="45" s="129" customFormat="1" x14ac:dyDescent="0.2"/>
  </sheetData>
  <sheetProtection algorithmName="SHA-512" hashValue="CZaINoDGGcAXspy/C90b/ObPxhXmlGdebAOdM7XkTHJW/2OjXA1Or9iV+trmIjXqMJ6CN0gsG1Y7OJiXwj+u5Q==" saltValue="UdYg4ItHAR/v2A6katpsjA==" spinCount="100000" sheet="1" objects="1" scenarios="1"/>
  <mergeCells count="6">
    <mergeCell ref="A9:B9"/>
    <mergeCell ref="C1:E3"/>
    <mergeCell ref="A5:B5"/>
    <mergeCell ref="A6:B6"/>
    <mergeCell ref="A7:B7"/>
    <mergeCell ref="A8:B8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17</vt:i4>
      </vt:variant>
      <vt:variant>
        <vt:lpstr>Nazwane zakresy</vt:lpstr>
      </vt:variant>
      <vt:variant>
        <vt:i4>15</vt:i4>
      </vt:variant>
    </vt:vector>
  </HeadingPairs>
  <TitlesOfParts>
    <vt:vector size="32" baseType="lpstr">
      <vt:lpstr>Orangeline</vt:lpstr>
      <vt:lpstr>Orangeline+</vt:lpstr>
      <vt:lpstr>Trendline</vt:lpstr>
      <vt:lpstr>Trendline+</vt:lpstr>
      <vt:lpstr>Topline</vt:lpstr>
      <vt:lpstr>Topline XL</vt:lpstr>
      <vt:lpstr>Designline</vt:lpstr>
      <vt:lpstr>Ultraline Classic</vt:lpstr>
      <vt:lpstr>Ultraline Style</vt:lpstr>
      <vt:lpstr>Ultraline Compact</vt:lpstr>
      <vt:lpstr>Skyline</vt:lpstr>
      <vt:lpstr>Skyline Freistand</vt:lpstr>
      <vt:lpstr>Carport</vt:lpstr>
      <vt:lpstr>Carport Freistand</vt:lpstr>
      <vt:lpstr>Daten</vt:lpstr>
      <vt:lpstr>Erklärung Dachrechner</vt:lpstr>
      <vt:lpstr>Plattenrechner</vt:lpstr>
      <vt:lpstr>Carport!Obszar_wydruku</vt:lpstr>
      <vt:lpstr>'Carport Freistand'!Obszar_wydruku</vt:lpstr>
      <vt:lpstr>Daten!Obszar_wydruku</vt:lpstr>
      <vt:lpstr>Designline!Obszar_wydruku</vt:lpstr>
      <vt:lpstr>Orangeline!Obszar_wydruku</vt:lpstr>
      <vt:lpstr>'Orangeline+'!Obszar_wydruku</vt:lpstr>
      <vt:lpstr>Skyline!Obszar_wydruku</vt:lpstr>
      <vt:lpstr>'Skyline Freistand'!Obszar_wydruku</vt:lpstr>
      <vt:lpstr>Topline!Obszar_wydruku</vt:lpstr>
      <vt:lpstr>'Topline XL'!Obszar_wydruku</vt:lpstr>
      <vt:lpstr>Trendline!Obszar_wydruku</vt:lpstr>
      <vt:lpstr>'Trendline+'!Obszar_wydruku</vt:lpstr>
      <vt:lpstr>'Ultraline Classic'!Obszar_wydruku</vt:lpstr>
      <vt:lpstr>'Ultraline Compact'!Obszar_wydruku</vt:lpstr>
      <vt:lpstr>'Ultraline Style'!Obszar_wydruku</vt:lpstr>
    </vt:vector>
  </TitlesOfParts>
  <Company>Vinny27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tedt</dc:creator>
  <cp:lastModifiedBy>Tomasz Fijołek</cp:lastModifiedBy>
  <cp:lastPrinted>2022-07-26T08:32:58Z</cp:lastPrinted>
  <dcterms:created xsi:type="dcterms:W3CDTF">2013-09-11T09:07:53Z</dcterms:created>
  <dcterms:modified xsi:type="dcterms:W3CDTF">2026-01-28T12:33:15Z</dcterms:modified>
</cp:coreProperties>
</file>